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cklog" sheetId="1" state="visible" r:id="rId3"/>
    <sheet name="Briefs SEO" sheetId="2" state="visible" r:id="rId4"/>
    <sheet name="Guías PDF" sheetId="3" state="visible" r:id="rId5"/>
    <sheet name="Mapa de enlaces" sheetId="4" state="visible" r:id="rId6"/>
    <sheet name="Resumen" sheetId="5" state="visible" r:id="rId7"/>
    <sheet name="Especificaciones" sheetId="6" state="visible" r:id="rId8"/>
    <sheet name="Claude Code" sheetId="7" state="visible" r:id="rId9"/>
    <sheet name="Notas" sheetId="8" state="visible" r:id="rId10"/>
  </sheets>
  <definedNames>
    <definedName function="false" hidden="true" localSheetId="0" name="_xlnm._FilterDatabase" vbProcedure="false">Backlog!$A$1:$R$59</definedName>
    <definedName function="false" hidden="true" localSheetId="1" name="_xlnm._FilterDatabase" vbProcedure="false">'Briefs SEO'!$A$1:$X$59</definedName>
    <definedName function="false" hidden="true" localSheetId="2" name="_xlnm._FilterDatabase" vbProcedure="false">'Guías PDF'!$A$1:$K$59</definedName>
    <definedName function="false" hidden="true" localSheetId="3" name="_xlnm._FilterDatabase" vbProcedure="false">'Mapa de enlaces'!$A$1:$J$329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<sst xmlns="http://schemas.openxmlformats.org/spreadsheetml/2006/main" count="5829" uniqueCount="2087">
  <si>
    <t xml:space="preserve">ID</t>
  </si>
  <si>
    <t xml:space="preserve">Etapa</t>
  </si>
  <si>
    <t xml:space="preserve">Fecha</t>
  </si>
  <si>
    <t xml:space="preserve">Día</t>
  </si>
  <si>
    <t xml:space="preserve">Clúster</t>
  </si>
  <si>
    <t xml:space="preserve">Rol</t>
  </si>
  <si>
    <t xml:space="preserve">Tipo</t>
  </si>
  <si>
    <t xml:space="preserve">Título propuesto (H1)</t>
  </si>
  <si>
    <t xml:space="preserve">Keyword objetivo</t>
  </si>
  <si>
    <t xml:space="preserve">Intención</t>
  </si>
  <si>
    <t xml:space="preserve">Audiencia</t>
  </si>
  <si>
    <t xml:space="preserve">Ángulo diferenciador</t>
  </si>
  <si>
    <t xml:space="preserve">Regla de redacción (sin verificación previa)</t>
  </si>
  <si>
    <t xml:space="preserve">Guía PDF (entregable Club 57)</t>
  </si>
  <si>
    <t xml:space="preserve">Origen</t>
  </si>
  <si>
    <t xml:space="preserve">Estado</t>
  </si>
  <si>
    <t xml:space="preserve">Idea original del cliente</t>
  </si>
  <si>
    <t xml:space="preserve">Razón de valor (cliente)</t>
  </si>
  <si>
    <t xml:space="preserve">B01</t>
  </si>
  <si>
    <t xml:space="preserve">Lanzamiento</t>
  </si>
  <si>
    <t xml:space="preserve">viernes</t>
  </si>
  <si>
    <t xml:space="preserve">Marca y Club 57</t>
  </si>
  <si>
    <t xml:space="preserve">Pilar</t>
  </si>
  <si>
    <t xml:space="preserve">Truper, Pretul, Foset, Volteck y más: guía de marcas para elegir herramienta y material</t>
  </si>
  <si>
    <t xml:space="preserve">marcas truper</t>
  </si>
  <si>
    <t xml:space="preserve">Informacional / comercial</t>
  </si>
  <si>
    <t xml:space="preserve">B2C + B2B</t>
  </si>
  <si>
    <t xml:space="preserve">Hub de marca: conecta el catálogo (todo es familia Truper) con la decisión de compra. Pocos competidores locales explican las marcas con criterio de uso.</t>
  </si>
  <si>
    <t xml:space="preserve">Escribir solo con lo que muestra el catálogo del sitio (nombres de productos y categorías). No afirmar qué línea cubre cada marca ni garantías específicas; remitir a la etiqueta o ficha de cada producto.</t>
  </si>
  <si>
    <t xml:space="preserve">Guía de marcas Truper: cuál elegir según tu trabajo</t>
  </si>
  <si>
    <t xml:space="preserve">Propuesto por Claude (pendiente de aprobación del cliente)</t>
  </si>
  <si>
    <t xml:space="preserve">Backlog</t>
  </si>
  <si>
    <t xml:space="preserve">—</t>
  </si>
  <si>
    <t xml:space="preserve">Pilar de marca: conecta el catálogo (todo es familia Truper) con la decisión de compra y alimenta los demás clústeres.</t>
  </si>
  <si>
    <t xml:space="preserve">B02</t>
  </si>
  <si>
    <t xml:space="preserve">Herramientas y mantenimiento</t>
  </si>
  <si>
    <t xml:space="preserve">Kit básico de herramientas para el hogar: las 15 que sí necesitas (y cuáles dejar para después)</t>
  </si>
  <si>
    <t xml:space="preserve">herramientas básicas para el hogar</t>
  </si>
  <si>
    <t xml:space="preserve">B2C</t>
  </si>
  <si>
    <t xml:space="preserve">Pilar para principiantes con enfoque de presupuesto por niveles; sirve de hub hacia todos los artículos de herramientas.</t>
  </si>
  <si>
    <t xml:space="preserve">Conocimiento general estable. Sin precios; enlazar solo herramientas que existan en el catálogo.</t>
  </si>
  <si>
    <t xml:space="preserve">Checklist: caja de herramientas básica del hogar</t>
  </si>
  <si>
    <t xml:space="preserve">Pilar para principiantes: hub hacia todos los artículos de herramientas, con alta demanda de búsqueda general.</t>
  </si>
  <si>
    <t xml:space="preserve">B03</t>
  </si>
  <si>
    <t xml:space="preserve">Construcción, fijación y materiales</t>
  </si>
  <si>
    <t xml:space="preserve">Cómo escoger el tamaño y tipo de broca correcto para cada material</t>
  </si>
  <si>
    <t xml:space="preserve">tipos de brocas</t>
  </si>
  <si>
    <t xml:space="preserve">Informacional</t>
  </si>
  <si>
    <t xml:space="preserve">Tabla 'material → broca → taquete → tornillo' lista para el mostrador y para el cliente casero; evita roturas y reclamos.</t>
  </si>
  <si>
    <t xml:space="preserve">Conocimiento general estable. Diámetros y velocidades: remitir al empaque de la broca y al manual del taladro.</t>
  </si>
  <si>
    <t xml:space="preserve">Tabla rápida: broca, taquete y tornillo por material</t>
  </si>
  <si>
    <t xml:space="preserve">Cliente (idea #1)</t>
  </si>
  <si>
    <t xml:space="preserve">B2C: Evita que el cliente dañe sus muros o rompa el material. B2B: Da argumentos técnicos al mostrador para hacer ventas cruzadas (taquete + broca + tornillo).</t>
  </si>
  <si>
    <t xml:space="preserve">B04</t>
  </si>
  <si>
    <t xml:space="preserve">Plomería y agua</t>
  </si>
  <si>
    <t xml:space="preserve">PPR, PVC, CPVC o cobre: diferencias entre tuberías y cuál conviene en tu proyecto</t>
  </si>
  <si>
    <t xml:space="preserve">diferencia entre tubería ppr y pvc</t>
  </si>
  <si>
    <t xml:space="preserve">Comparativa honesta con criterio de decisión por proyecto (casa nueva, remodelación, agua caliente) y con ángulo de agua dura local.</t>
  </si>
  <si>
    <t xml:space="preserve">Comparar por características generales (costo relativo, tipo de unión, uso). Sin límites numéricos de temperatura o presión: remitir a la ficha del fabricante.</t>
  </si>
  <si>
    <t xml:space="preserve">Comparador de tuberías: PPR, PVC, CPVC y cobre</t>
  </si>
  <si>
    <t xml:space="preserve">Cliente (idea #5)</t>
  </si>
  <si>
    <t xml:space="preserve">Principales diferencias entre tuberías PPR, PVC, CPVC y Cobre</t>
  </si>
  <si>
    <t xml:space="preserve">B2C: Ayuda al usuario a tomar decisiones informadas de remodelación. B2B: Respalda al plomero/instalador al justificar cotizaciones de materiales ante sus clientes.</t>
  </si>
  <si>
    <t xml:space="preserve">B05</t>
  </si>
  <si>
    <t xml:space="preserve">Electricidad e iluminación</t>
  </si>
  <si>
    <t xml:space="preserve">Calibre de cables eléctricos: cuál usar para cada electrodoméstico y cada circuito</t>
  </si>
  <si>
    <t xml:space="preserve">calibre de cable para casa</t>
  </si>
  <si>
    <t xml:space="preserve">Pasa de la tabla fría a un cálculo guiado con ejemplos reales de aparatos del hogar; refuerza seguridad y normativa.</t>
  </si>
  <si>
    <t xml:space="preserve">Usar la regla práctica estándar 14/12/10 AWG ↔ 15/20/30 A, presentada como orientativa. Sin números de norma; indicar que un electricista valida la instalación.</t>
  </si>
  <si>
    <t xml:space="preserve">Tabla de calibres: qué cable para cada aparato</t>
  </si>
  <si>
    <t xml:space="preserve">Cliente (idea #8)</t>
  </si>
  <si>
    <t xml:space="preserve">Guía de cables eléctricos: Qué calibre usar para cada electrodoméstico</t>
  </si>
  <si>
    <t xml:space="preserve">B2C: Previene cortocircuitos e incendios por sobrecarga. B2B: Facilita la venta de marcas especializadas (como Volteck o Truper) al explicar normativas de seguridad.</t>
  </si>
  <si>
    <t xml:space="preserve">B06</t>
  </si>
  <si>
    <t xml:space="preserve">Pintura, sellado e impermeabilización</t>
  </si>
  <si>
    <t xml:space="preserve">Salitre y humedad en muros en Querétaro: cómo protegerlos y eliminarlos paso a paso</t>
  </si>
  <si>
    <t xml:space="preserve">salitre en paredes</t>
  </si>
  <si>
    <t xml:space="preserve">Problema hiperlocal del Bajío con procedimiento claro, orden de productos y diagnóstico salitre vs moho.</t>
  </si>
  <si>
    <t xml:space="preserve">Procedimiento general. Tiempos de secado y dosificación: remitir a la etiqueta de cada producto. Sin fechas ni cifras de clima.</t>
  </si>
  <si>
    <t xml:space="preserve">Guía visual: salitre y humedad, diagnóstico y reparación</t>
  </si>
  <si>
    <t xml:space="preserve">Cliente (idea #6)</t>
  </si>
  <si>
    <t xml:space="preserve">Cómo proteger tu casa en Querétaro del salitre y la humedad en muros</t>
  </si>
  <si>
    <t xml:space="preserve">B2C: Ataca un problema hiper-local y común en el Bajío (SEO local). B2B: Impulsa la venta de impermeabilizantes, selladores y aditivos para concreto.</t>
  </si>
  <si>
    <t xml:space="preserve">B07</t>
  </si>
  <si>
    <t xml:space="preserve">Tinaco o cisterna en Querétaro: qué considerar para instalarlo y no quedarte sin agua</t>
  </si>
  <si>
    <t xml:space="preserve">instalar tinaco</t>
  </si>
  <si>
    <t xml:space="preserve">Guía local para escenarios de cortes de agua con calculadora simple y lista completa de componentes.</t>
  </si>
  <si>
    <t xml:space="preserve">Cálculo con un supuesto ilustrativo declarado como ejemplo (p. ej. consumo por persona), invitando al lector a ajustarlo. Hablar de cortes de agua en general, sin datos de colonias.</t>
  </si>
  <si>
    <t xml:space="preserve">Checklist de instalación de tinaco o cisterna</t>
  </si>
  <si>
    <t xml:space="preserve">Cliente (idea #12)</t>
  </si>
  <si>
    <t xml:space="preserve">Qué considerar al instalar un tinaco o cisterna para evitar cortes de agua en Querétaro</t>
  </si>
  <si>
    <t xml:space="preserve">B2C: Guía de prevención ante tandeos locales (Alta búsqueda SEO). B2B: Tráfico segmentado por la necesidad de almacenamiento de agua, impulsando ticket alto.</t>
  </si>
  <si>
    <t xml:space="preserve">B08</t>
  </si>
  <si>
    <t xml:space="preserve">Brocha o rodillo: qué necesitas según la pintura (vinílica vs esmalte)</t>
  </si>
  <si>
    <t xml:space="preserve">brocha o rodillo</t>
  </si>
  <si>
    <t xml:space="preserve">Decisión práctica por superficie y pintura para lograr un acabado profesional en casa; capacitación rápida para mostrador.</t>
  </si>
  <si>
    <t xml:space="preserve">Conocimiento general estable. No nombrar marcas de pintura ajenas al catálogo (IPESA incluida). Largos de felpa: remitir a la etiqueta.</t>
  </si>
  <si>
    <t xml:space="preserve">Guía rápida: qué herramienta usar según tu pintura</t>
  </si>
  <si>
    <t xml:space="preserve">Cliente (idea #2)</t>
  </si>
  <si>
    <t xml:space="preserve">Qué tipo de brocha o rodillo necesito según la pintura (vinílica vs esmalte)</t>
  </si>
  <si>
    <t xml:space="preserve">B2C: Garantiza un acabado profesional en casa. B2B: Capacita al personal para recomendar la herramienta adecuada con pinturas de marcas reconocidas como IPESA.</t>
  </si>
  <si>
    <t xml:space="preserve">B09</t>
  </si>
  <si>
    <t xml:space="preserve">Octubre 2026</t>
  </si>
  <si>
    <t xml:space="preserve">martes</t>
  </si>
  <si>
    <t xml:space="preserve">Satélite</t>
  </si>
  <si>
    <t xml:space="preserve">Fondo</t>
  </si>
  <si>
    <t xml:space="preserve">Tipos de taquetes: cuál usar en tablaroca, concreto sólido o ladrillo hueco</t>
  </si>
  <si>
    <t xml:space="preserve">tipos de taquetes</t>
  </si>
  <si>
    <t xml:space="preserve">Diagnóstico del muro antes de elegir y trío broca–taquete–tornillo explicado; enfoque en evitar accidentes.</t>
  </si>
  <si>
    <t xml:space="preserve">Conocimiento general. Sin cifras de carga: remitir al empaque del taquete.</t>
  </si>
  <si>
    <t xml:space="preserve">Guía de taquetes por tipo de muro</t>
  </si>
  <si>
    <t xml:space="preserve">Cliente (idea #7)</t>
  </si>
  <si>
    <t xml:space="preserve">Tipos de taquetes: Cuál usar en tablaroca, concreto sólido o ladrillo hueco</t>
  </si>
  <si>
    <t xml:space="preserve">B2C: Previene accidentes (ej. repisas o pantallas caídas). B2B: Reduce los reclamos en mostrador por 'productos que no sirven' por mala instalación.</t>
  </si>
  <si>
    <t xml:space="preserve">B10</t>
  </si>
  <si>
    <t xml:space="preserve">jueves</t>
  </si>
  <si>
    <t xml:space="preserve">Conversión (Club 57)</t>
  </si>
  <si>
    <t xml:space="preserve">Corto</t>
  </si>
  <si>
    <t xml:space="preserve">Club 57: cómo funciona, cómo ganar puntos y qué recibes al registrarte</t>
  </si>
  <si>
    <t xml:space="preserve">club 57 ferretería 57</t>
  </si>
  <si>
    <t xml:space="preserve">Artículo de conversión: conecta el blog con el registro a Club 57, donde se entregan las guías PDF.</t>
  </si>
  <si>
    <t xml:space="preserve">Leer los valores vigentes de Club 57 desde la configuración del admin al redactar; no hardcodear cifras ni mencionar proveedores técnicos.</t>
  </si>
  <si>
    <t xml:space="preserve">Guía de bienvenida a Club 57</t>
  </si>
  <si>
    <t xml:space="preserve">Conversión: explica el programa donde se entregan las guías PDF y las promociones para miembros.</t>
  </si>
  <si>
    <t xml:space="preserve">B11</t>
  </si>
  <si>
    <t xml:space="preserve">sábado</t>
  </si>
  <si>
    <t xml:space="preserve">Fin de semana</t>
  </si>
  <si>
    <t xml:space="preserve">Cómo destapar la tubería del lavabo de forma segura sin dañar el PVC</t>
  </si>
  <si>
    <t xml:space="preserve">cómo destapar un lavabo</t>
  </si>
  <si>
    <t xml:space="preserve">Procedimiento seguro priorizando métodos mecánicos y cuidado del PVC.</t>
  </si>
  <si>
    <t xml:space="preserve">Conocimiento general. Seguir la etiqueta de cada destapacaños; sin temperaturas exactas.</t>
  </si>
  <si>
    <t xml:space="preserve">Guía de emergencia: lavabo tapado</t>
  </si>
  <si>
    <t xml:space="preserve">Cliente (idea #13)</t>
  </si>
  <si>
    <t xml:space="preserve">Cómo destapar una tubería del lavabo de forma segura sin dañar el PVC</t>
  </si>
  <si>
    <t xml:space="preserve">B2C: Soluciona un problema de emergencia en casa. B2B: Posiciona la venta de químicos destapacaños, chupones y guías mecánicas.</t>
  </si>
  <si>
    <t xml:space="preserve">B12</t>
  </si>
  <si>
    <t xml:space="preserve">Seguridad y protección</t>
  </si>
  <si>
    <t xml:space="preserve">Cómo elegir un candado anticizalla para exteriores y cortinas de negocio</t>
  </si>
  <si>
    <t xml:space="preserve">candado anticizalla</t>
  </si>
  <si>
    <t xml:space="preserve">Criterios de compra claros + mini auditoría de seguridad lista para imprimir, útil para dueños de negocio.</t>
  </si>
  <si>
    <t xml:space="preserve">Criterios generales de compra. No prometer «inviolable» ni citar estadísticas; sin grados de seguridad específicos.</t>
  </si>
  <si>
    <t xml:space="preserve">Auditoría de seguridad básica para casa o negocio</t>
  </si>
  <si>
    <t xml:space="preserve">Cliente (idea #9)</t>
  </si>
  <si>
    <t xml:space="preserve">Cómo elegir un buen candado anticizalla para exteriores y cortinas de negocios</t>
  </si>
  <si>
    <t xml:space="preserve">B2C/B2B: Aborda la preocupación de seguridad de locales y hogares, ideal para respaldar un PDF sobre 'Auditoría de seguridad básica'.</t>
  </si>
  <si>
    <t xml:space="preserve">B13</t>
  </si>
  <si>
    <t xml:space="preserve">Cinta teflón: qué es, para qué sirve y cómo aplicarla correctamente</t>
  </si>
  <si>
    <t xml:space="preserve">cinta teflón</t>
  </si>
  <si>
    <t xml:space="preserve">Microguía visual (en texto + diagrama vectorial en PDF) de una habilidad que casi todos hacen mal.</t>
  </si>
  <si>
    <t xml:space="preserve">Conocimiento general. Número de vueltas: decir «varias vueltas» o remitir al empaque.</t>
  </si>
  <si>
    <t xml:space="preserve">Plomería básica visual: guía de cinta teflón y sellado de roscas</t>
  </si>
  <si>
    <t xml:space="preserve">Cliente (idea #16)</t>
  </si>
  <si>
    <t xml:space="preserve">Qué es la cinta teflón, para qué sirve y cómo se aplica correctamente</t>
  </si>
  <si>
    <t xml:space="preserve">B2C/B2B: Una micro-habilidad que todo principiante hace mal; el PDF descargable puede ser una infografía de 'Plomería básica visual'.</t>
  </si>
  <si>
    <t xml:space="preserve">B14</t>
  </si>
  <si>
    <t xml:space="preserve">Mantenimiento preventivo del calentador solar antes de la temporada de frío</t>
  </si>
  <si>
    <t xml:space="preserve">mantenimiento calentador solar</t>
  </si>
  <si>
    <t xml:space="preserve">Calendario de revisión anual específico para calentadores solares en la región; enlaza a boiler y tuberías.</t>
  </si>
  <si>
    <t xml:space="preserve">Conocimiento general. Intervalos y procedimientos exactos: remitir al manual del equipo; sin cifras.</t>
  </si>
  <si>
    <t xml:space="preserve">Calendario anual de mantenimiento del calentador solar</t>
  </si>
  <si>
    <t xml:space="preserve">Cliente (idea #46)</t>
  </si>
  <si>
    <t xml:space="preserve">Mantenimiento preventivo para calentadores solares antes de la temporada de frío</t>
  </si>
  <si>
    <t xml:space="preserve">B2C/B2B: Tecnología en auge local; el contenido asegura ventas cruzadas de llaves de paso, mangueras especiales, ánodos de sacrificio y tubería PPR.</t>
  </si>
  <si>
    <t xml:space="preserve">B15</t>
  </si>
  <si>
    <t xml:space="preserve">El peligro de los diablitos y falsos contactos: por qué actualizar tu instalación eléctrica</t>
  </si>
  <si>
    <t xml:space="preserve">diablito eléctrico peligro</t>
  </si>
  <si>
    <t xml:space="preserve">Concientización con checklist de señales de alerta y ruta de actualización por prioridad.</t>
  </si>
  <si>
    <t xml:space="preserve">Solo riesgos y soluciones seguras; sin instrucciones de conexiones clandestinas. Sin estadísticas ni números de norma.</t>
  </si>
  <si>
    <t xml:space="preserve">Señales de alerta en tu instalación eléctrica</t>
  </si>
  <si>
    <t xml:space="preserve">Cliente (idea #30)</t>
  </si>
  <si>
    <t xml:space="preserve">El peligro del 'diablito' y falsos contactos: Por qué actualizar tu instalación</t>
  </si>
  <si>
    <t xml:space="preserve">B2C/B2B: Concientización sobre riesgos y consumo. Promueve la actualización de centros de carga, medidores y cableado normado.</t>
  </si>
  <si>
    <t xml:space="preserve">B16</t>
  </si>
  <si>
    <t xml:space="preserve">Conectores eléctricos: cuándo usar capuchones, cinta de aislar o regletas (clemas)</t>
  </si>
  <si>
    <t xml:space="preserve">conectores eléctricos</t>
  </si>
  <si>
    <t xml:space="preserve">Profesionaliza los empalmes del usuario doméstico y actualiza al electricista sobre alternativas modernas.</t>
  </si>
  <si>
    <t xml:space="preserve">Conocimiento general. Capacidad de cada conector: remitir al empaque.</t>
  </si>
  <si>
    <t xml:space="preserve">Guía rápida de empalmes y conectores</t>
  </si>
  <si>
    <t xml:space="preserve">Cliente (idea #41)</t>
  </si>
  <si>
    <t xml:space="preserve">Conectores eléctricos: Cuándo usar capuchones, cinta de aislar o regletas (clemas)</t>
  </si>
  <si>
    <t xml:space="preserve">B2B/B2C: Profesionaliza los empalmes del usuario doméstico y actualiza a los electricistas sobre alternativas más seguras a la cinta de aislar.</t>
  </si>
  <si>
    <t xml:space="preserve">B17</t>
  </si>
  <si>
    <t xml:space="preserve">Cómo purgar un boiler (calentador de agua) para quitarle el sarro</t>
  </si>
  <si>
    <t xml:space="preserve">purgar boiler</t>
  </si>
  <si>
    <t xml:space="preserve">Contenido estacional de invierno con enfoque en dureza del agua local y seguridad.</t>
  </si>
  <si>
    <t xml:space="preserve">Procedimiento general para boiler de depósito; detalles en el manual del fabricante. Sin cifras de dureza; frecuencia como regla práctica («al menos una vez al año»).</t>
  </si>
  <si>
    <t xml:space="preserve">Calendario y checklist de mantenimiento del boiler</t>
  </si>
  <si>
    <t xml:space="preserve">Cliente (idea #27)</t>
  </si>
  <si>
    <t xml:space="preserve">B2C: Mantenimiento preventivo anual indispensable por la dureza del agua local. SEO muy fuerte en temporada de invierno.</t>
  </si>
  <si>
    <t xml:space="preserve">B18</t>
  </si>
  <si>
    <t xml:space="preserve">Noviembre 2026</t>
  </si>
  <si>
    <t xml:space="preserve">Cómo elegir una bomba de agua (periférica o centrífuga) según los pisos de tu casa</t>
  </si>
  <si>
    <t xml:space="preserve">bomba de agua para casa</t>
  </si>
  <si>
    <t xml:space="preserve">Guía por tipo de vivienda con preguntas de diagnóstico; cierra venta técnica de ticket alto.</t>
  </si>
  <si>
    <t xml:space="preserve">Criterios generales y tabla cualitativa por tipo de casa. Potencias exactas: remitir a la ficha de la bomba.</t>
  </si>
  <si>
    <t xml:space="preserve">Guía de selección de bomba de agua</t>
  </si>
  <si>
    <t xml:space="preserve">Cliente (idea #29)</t>
  </si>
  <si>
    <t xml:space="preserve">Cómo elegir una bomba de agua (Periférica vs Centrífuga) según el piso de tu casa</t>
  </si>
  <si>
    <t xml:space="preserve">B2C/B2B: Resuelve la duda número uno de clientes con problemas de presión, cerrando ventas de ticket alto de manera técnica y confiable.</t>
  </si>
  <si>
    <t xml:space="preserve">B19</t>
  </si>
  <si>
    <t xml:space="preserve">Oficios y negocio ferretero</t>
  </si>
  <si>
    <t xml:space="preserve">Las 10 herramientas esenciales para iniciar tu propio negocio de plomería</t>
  </si>
  <si>
    <t xml:space="preserve">herramientas de plomero</t>
  </si>
  <si>
    <t xml:space="preserve">B2B</t>
  </si>
  <si>
    <t xml:space="preserve">Orientado al emprendedor de oficios, con priorización por inversión y consumibles.</t>
  </si>
  <si>
    <t xml:space="preserve">Conocimiento general. Sin precios; enlazar solo herramientas que existan en el catálogo.</t>
  </si>
  <si>
    <t xml:space="preserve">Checklist inicial: caja de herramientas del plomero</t>
  </si>
  <si>
    <t xml:space="preserve">Cliente (idea #35)</t>
  </si>
  <si>
    <t xml:space="preserve">B2B: Contenido para emprendedores de oficios. El PDF exclusivo puede ser el 'Checklist inicial de la caja de herramientas del plomero'.</t>
  </si>
  <si>
    <t xml:space="preserve">B20</t>
  </si>
  <si>
    <t xml:space="preserve">Cómo instalar un soporte de TV en la pared de forma segura y nivelada</t>
  </si>
  <si>
    <t xml:space="preserve">cómo instalar soporte de tv</t>
  </si>
  <si>
    <t xml:space="preserve">Búsqueda de fin de semana con checklist de seguridad y herramientas completas.</t>
  </si>
  <si>
    <t xml:space="preserve">Conocimiento general. Peso máximo y VESA: remitir al manual del soporte. Sin fechas de promociones.</t>
  </si>
  <si>
    <t xml:space="preserve">Checklist para instalar tu TV en la pared</t>
  </si>
  <si>
    <t xml:space="preserve">Cliente (idea #34)</t>
  </si>
  <si>
    <t xml:space="preserve">B2C: Búsqueda de fin de semana muy frecuente. Empuja la venta de nivel de gota, flexómetro, taladro, brocas para concreto y taquetes expansivos.</t>
  </si>
  <si>
    <t xml:space="preserve">B21</t>
  </si>
  <si>
    <t xml:space="preserve">Focos LED vs ahorradores: lúmenes, watts y temperatura de color explicados</t>
  </si>
  <si>
    <t xml:space="preserve">focos led vs ahorradores</t>
  </si>
  <si>
    <t xml:space="preserve">Traducir la ficha técnica a decisiones por cuarto y mostrar el ahorro con un cálculo transparente.</t>
  </si>
  <si>
    <t xml:space="preserve">Conocimiento general estable (800 lm ≈ 60 W incandescente; 2.700 K cálida, 4.000 K neutra, 6.500 K fría). Ahorro con ejemplo ilustrativo y fórmula; sin tarifas de CFE.</t>
  </si>
  <si>
    <t xml:space="preserve">Guía de iluminación: qué foco poner en cada espacio</t>
  </si>
  <si>
    <t xml:space="preserve">Cliente (idea #10)</t>
  </si>
  <si>
    <t xml:space="preserve">Focos LED vs Ahorradores: Lúmenes, Watts y temperaturas de color explicadas</t>
  </si>
  <si>
    <t xml:space="preserve">B2C: Ayuda a ahorrar en el recibo de luz. B2B: Argumenta la venta de iluminación LED de mayor margen para el mostrador.</t>
  </si>
  <si>
    <t xml:space="preserve">B22</t>
  </si>
  <si>
    <t xml:space="preserve">Qué hacer en caso de fuga de gas en casa y qué revisar en tus conexiones</t>
  </si>
  <si>
    <t xml:space="preserve">fuga de gas qué hacer</t>
  </si>
  <si>
    <t xml:space="preserve">Protocolo de emergencia claro + revisión preventiva, con productos certificados sin alarmismo.</t>
  </si>
  <si>
    <t xml:space="preserve">Protocolo de emergencia estándar (no encender flama ni interruptores, ventilar, cerrar llave de paso, salir, llamar al 911 y al proveedor de gas). Sin números de norma; las reparaciones de gas las hace un técnico.</t>
  </si>
  <si>
    <t xml:space="preserve">Plan de acción: fuga de gas en casa</t>
  </si>
  <si>
    <t xml:space="preserve">Cliente (idea #39)</t>
  </si>
  <si>
    <t xml:space="preserve">Qué hacer en caso de una fuga de gas en casa y qué revisar en las conexiones</t>
  </si>
  <si>
    <t xml:space="preserve">B2C: Búsqueda de prevención/emergencia. B2B: Promueve mangueras de gas certificadas, reguladores, cinta teflón amarilla y detectores.</t>
  </si>
  <si>
    <t xml:space="preserve">B23</t>
  </si>
  <si>
    <t xml:space="preserve">Por qué baja la presión del agua en tu regadera y cómo solucionarlo</t>
  </si>
  <si>
    <t xml:space="preserve">poca presión de agua en la regadera</t>
  </si>
  <si>
    <t xml:space="preserve">Diagnóstico por pasos con costo creciente; evita compras innecesarias.</t>
  </si>
  <si>
    <t xml:space="preserve">Conocimiento general. Compatibilidad de limpiadores: remitir a las indicaciones del fabricante de la regadera.</t>
  </si>
  <si>
    <t xml:space="preserve">Diagnóstico: poca presión de agua en casa</t>
  </si>
  <si>
    <t xml:space="preserve">Cliente (idea #37)</t>
  </si>
  <si>
    <t xml:space="preserve">Por qué baja la presión del agua en tu regadera y cómo solucionarlo fácilmente</t>
  </si>
  <si>
    <t xml:space="preserve">B2C: Búsqueda hiper-frecuente en Google. Ideal para promover presurizadores, limpieza de sarro o cambio de cebolletas obstruidas.</t>
  </si>
  <si>
    <t xml:space="preserve">B24</t>
  </si>
  <si>
    <t xml:space="preserve">Fórmula fácil para calcular cuánta pintura o impermeabilizante necesitas</t>
  </si>
  <si>
    <t xml:space="preserve">cómo calcular pintura</t>
  </si>
  <si>
    <t xml:space="preserve">Fórmula con ejemplos resueltos y hoja imprimible; ayuda al vendedor a cerrar cubetas completas.</t>
  </si>
  <si>
    <t xml:space="preserve">Fórmula con ejemplos ilustrativos. Rendimiento: usar el de la etiqueta del producto; los ejemplos usan un rendimiento supuesto y declarado.</t>
  </si>
  <si>
    <t xml:space="preserve">Hoja de cálculo imprimible: pintura e impermeabilizante</t>
  </si>
  <si>
    <t xml:space="preserve">Cliente (idea #20)</t>
  </si>
  <si>
    <t xml:space="preserve">B2C: Quita el miedo a comprar de más o de menos. B2B: Herramienta útil para que los vendedores cierren ventas de cubetas completas sin dudas.</t>
  </si>
  <si>
    <t xml:space="preserve">B25</t>
  </si>
  <si>
    <t xml:space="preserve">Para qué sirve cada tipo de pinza: de presión, electricista, de punta y de corte</t>
  </si>
  <si>
    <t xml:space="preserve">tipos de pinzas</t>
  </si>
  <si>
    <t xml:space="preserve">Guía rápida de capacitación (B2B) y de criterio de compra (B2C) en una sola tabla.</t>
  </si>
  <si>
    <t xml:space="preserve">Conocimiento general. Aislamiento eléctrico de pinzas: remitir al marcaje del fabricante.</t>
  </si>
  <si>
    <t xml:space="preserve">Guía rápida: qué pinza usar para cada tarea</t>
  </si>
  <si>
    <t xml:space="preserve">Cliente (idea #4)</t>
  </si>
  <si>
    <t xml:space="preserve">B2C: Educa sobre el uso correcto para no barrer tornillos ni cortar mal. B2B: Ideal como guía rápida de capacitación para empleados de nuevo ingreso.</t>
  </si>
  <si>
    <t xml:space="preserve">B26</t>
  </si>
  <si>
    <t xml:space="preserve">Cómo quitar el óxido de herramientas, candados y metales fácilmente</t>
  </si>
  <si>
    <t xml:space="preserve">cómo quitar el óxido</t>
  </si>
  <si>
    <t xml:space="preserve">Trucos prácticos con matriz de decisión según nivel de óxido y tipo de pieza.</t>
  </si>
  <si>
    <t xml:space="preserve">Conocimiento general. Precauciones de cada producto: remitir a la etiqueta.</t>
  </si>
  <si>
    <t xml:space="preserve">Guía rápida: elimina y previene el óxido</t>
  </si>
  <si>
    <t xml:space="preserve">Cliente (idea #31)</t>
  </si>
  <si>
    <t xml:space="preserve">B2C: Trucos prácticos de alto interés. B2B: Posiciona aflojatodos, lubricantes, convertidores de óxido y cepillos de alambre de copa.</t>
  </si>
  <si>
    <t xml:space="preserve">B27</t>
  </si>
  <si>
    <t xml:space="preserve">Control de inventarios en tu ferretería: cómo evitar robos hormiga y quiebres de stock</t>
  </si>
  <si>
    <t xml:space="preserve">control de inventarios ferretería</t>
  </si>
  <si>
    <t xml:space="preserve">Marco práctico y plantilla de conteo cíclico para dueños de ferreterías pequeñas.</t>
  </si>
  <si>
    <t xml:space="preserve">Conocimiento general de gestión. Sin estadísticas de merma ni software específico; fórmula con ejemplo ilustrativo.</t>
  </si>
  <si>
    <t xml:space="preserve">Plantilla de conteo cíclico y punto de reorden</t>
  </si>
  <si>
    <t xml:space="preserve">Cliente (idea #50)</t>
  </si>
  <si>
    <t xml:space="preserve">Control de inventarios: Cómo evitar robos hormiga y roturas de stock en la ferretería</t>
  </si>
  <si>
    <t xml:space="preserve">B2B: Resuelve el mayor dolor de cabeza de los emprendedores del giro ferretero; genera confianza y autoridad de marca en el sector.</t>
  </si>
  <si>
    <t xml:space="preserve">B28</t>
  </si>
  <si>
    <t xml:space="preserve">Tipos de pegamentos y adhesivos: de contacto, epóxicos, cianoacrilatos y para madera</t>
  </si>
  <si>
    <t xml:space="preserve">tipos de pegamentos</t>
  </si>
  <si>
    <t xml:space="preserve">Tabla de combinaciones de materiales; buena para venta cruzada en caja.</t>
  </si>
  <si>
    <t xml:space="preserve">Conocimiento general. Tiempos de secado: remitir a la etiqueta.</t>
  </si>
  <si>
    <t xml:space="preserve">Tabla de adhesivos: qué pegamento para cada material</t>
  </si>
  <si>
    <t xml:space="preserve">Cliente (idea #28)</t>
  </si>
  <si>
    <t xml:space="preserve">Tipos de pegamentos y adhesivos: De contacto, epóxicos, cianoacrilatos y madera</t>
  </si>
  <si>
    <t xml:space="preserve">B2C: Evita la frustración de proyectos que se despegan. B2B: Ideal para venta cruzada en caja para cualquier proyecto de reparación.</t>
  </si>
  <si>
    <t xml:space="preserve">B29</t>
  </si>
  <si>
    <t xml:space="preserve">Cómo cambiar el sapo, la válvula y los herrajes del tanque del escusado sin fugas</t>
  </si>
  <si>
    <t xml:space="preserve">cambiar sapo del tanque del escusado</t>
  </si>
  <si>
    <t xml:space="preserve">Diagnóstico de la fuga silenciosa + guía por componente con kit de reparación completo.</t>
  </si>
  <si>
    <t xml:space="preserve">Conocimiento general. Compatibilidad de refacciones: llevar el herraje viejo al mostrador. Sin litros de ahorro.</t>
  </si>
  <si>
    <t xml:space="preserve">Guía de reparación del tanque del escusado</t>
  </si>
  <si>
    <t xml:space="preserve">Cliente (idea #48)</t>
  </si>
  <si>
    <t xml:space="preserve">Cómo cambiar el sapo, la válvula y herrajes del tanque del escusado sin fugas</t>
  </si>
  <si>
    <t xml:space="preserve">B2C: Promueve el ahorro de agua. Tráfico de fin de semana. Atrae clientes directo a los kits de reparación completos en la sección de plomería.</t>
  </si>
  <si>
    <t xml:space="preserve">B30</t>
  </si>
  <si>
    <t xml:space="preserve">Diciembre 2026</t>
  </si>
  <si>
    <t xml:space="preserve">Silicón, sellador acrílico o de poliuretano: diferencias y cuál usar</t>
  </si>
  <si>
    <t xml:space="preserve">diferencia entre silicón y sellador acrílico</t>
  </si>
  <si>
    <t xml:space="preserve">Tabla de decisión por aplicación con el error clásico como gancho.</t>
  </si>
  <si>
    <t xml:space="preserve">Conocimiento general. Compatibilidad con pintura y tiempos de curado: remitir a la etiqueta.</t>
  </si>
  <si>
    <t xml:space="preserve">Guía de selección de selladores</t>
  </si>
  <si>
    <t xml:space="preserve">Cliente (idea #14)</t>
  </si>
  <si>
    <t xml:space="preserve">Diferencia crítica entre silicones, selladores acrílicos y de poliuretano</t>
  </si>
  <si>
    <t xml:space="preserve">B2C: Evita el clásico error de usar silicón normal de baño en exteriores. B2B: Aumenta el ticket promedio al recomendar el sellador especializado.</t>
  </si>
  <si>
    <t xml:space="preserve">B31</t>
  </si>
  <si>
    <t xml:space="preserve">Guía de espátulas, cuñas y llanas para acabados de construcción perfectos</t>
  </si>
  <si>
    <t xml:space="preserve">tipos de llanas</t>
  </si>
  <si>
    <t xml:space="preserve">Diccionario de herramientas de acabado para oficios, en tabla y fácil de capacitar.</t>
  </si>
  <si>
    <t xml:space="preserve">Conocimiento general. Dentado de llana: remitir a la ficha del adhesivo.</t>
  </si>
  <si>
    <t xml:space="preserve">Glosario visual de herramientas de acabado</t>
  </si>
  <si>
    <t xml:space="preserve">Cliente (idea #38)</t>
  </si>
  <si>
    <t xml:space="preserve">B2B: Dirigido a albañiles, tablaroqueros y yeseros que buscan diferenciar las herramientas dentadas, lisas o de goma.</t>
  </si>
  <si>
    <t xml:space="preserve">B32</t>
  </si>
  <si>
    <t xml:space="preserve">Cómo reparar una fuga en la llave mezcladora del lavabo o fregadero</t>
  </si>
  <si>
    <t xml:space="preserve">reparar llave mezcladora</t>
  </si>
  <si>
    <t xml:space="preserve">Diagnóstico por origen de la fuga con lista de refacciones; ideal para venta de repuestos.</t>
  </si>
  <si>
    <t xml:space="preserve">Conocimiento general. Compatibilidad de cartuchos: llevar la pieza vieja al mostrador.</t>
  </si>
  <si>
    <t xml:space="preserve">Guía: diagnóstico de fugas en llaves</t>
  </si>
  <si>
    <t xml:space="preserve">Cliente (idea #15)</t>
  </si>
  <si>
    <t xml:space="preserve">B2C: Empodera al cliente para hacer reparaciones DIY. B2B: Impulsa la venta recurrente de empaques, cartuchos y cinta teflón.</t>
  </si>
  <si>
    <t xml:space="preserve">B33</t>
  </si>
  <si>
    <t xml:space="preserve">Técnicas de exhibición (merchandising) para aumentar las ventas en el mostrador de tu ferretería</t>
  </si>
  <si>
    <t xml:space="preserve">merchandising para ferreterías</t>
  </si>
  <si>
    <t xml:space="preserve">Checklist visual de exhibición para dueños de ferreterías y vendedores.</t>
  </si>
  <si>
    <t xml:space="preserve">Conocimiento general de comercio. Sin estadísticas.</t>
  </si>
  <si>
    <t xml:space="preserve">Checklist de exhibición para ferreterías</t>
  </si>
  <si>
    <t xml:space="preserve">Cliente (idea #49)</t>
  </si>
  <si>
    <t xml:space="preserve">Técnicas de exhibición (Merchandising) para aumentar ventas en mostradores ferreteros</t>
  </si>
  <si>
    <t xml:space="preserve">B2B: Contenido de liderazgo de industria. Aporta valor a otros sub-distribuidores o dueños de ferreterías, posicionando la visión comercial del negocio.</t>
  </si>
  <si>
    <t xml:space="preserve">B34</t>
  </si>
  <si>
    <t xml:space="preserve">Guía de guantes de trabajo: cuándo usar nitrilo, carnaza, látex o anticorte</t>
  </si>
  <si>
    <t xml:space="preserve">guantes de trabajo</t>
  </si>
  <si>
    <t xml:space="preserve">Matriz actividad–guante pensada para compradores de EPP y encargados de seguridad.</t>
  </si>
  <si>
    <t xml:space="preserve">Conocimiento general. Niveles de protección: remitir al empaque; sin números de norma.</t>
  </si>
  <si>
    <t xml:space="preserve">Matriz de selección de guantes de trabajo</t>
  </si>
  <si>
    <t xml:space="preserve">Cliente (idea #42)</t>
  </si>
  <si>
    <t xml:space="preserve">Guía de guantes de trabajo: Cuándo usar nitrilo, carnaza, látex o anticorte</t>
  </si>
  <si>
    <t xml:space="preserve">B2B: Fundamental para los encargados de compras de empresas e industrias en los parques industriales de la región que buscan surtir EPP.</t>
  </si>
  <si>
    <t xml:space="preserve">B35</t>
  </si>
  <si>
    <t xml:space="preserve">Herramientas básicas que no pueden faltar en la cajuela del auto para emergencias</t>
  </si>
  <si>
    <t xml:space="preserve">kit de emergencia para auto</t>
  </si>
  <si>
    <t xml:space="preserve">Lista por prioridad con kit prearmado y revisión previa a viajes.</t>
  </si>
  <si>
    <t xml:space="preserve">Conocimiento general. Presentar como equipo recomendado, sin afirmar obligaciones legales.</t>
  </si>
  <si>
    <t xml:space="preserve">Checklist: kit de emergencia para tu auto</t>
  </si>
  <si>
    <t xml:space="preserve">Cliente (idea #17)</t>
  </si>
  <si>
    <t xml:space="preserve">B2C: Apela a la prevención vial, búsquedas estacionales para vacaciones. B2B: Crea la oportunidad de vender 'kits de emergencia' prearmados.</t>
  </si>
  <si>
    <t xml:space="preserve">B36</t>
  </si>
  <si>
    <t xml:space="preserve">Chapa de sobreponer, de embutir o cerradura de alta seguridad: cuál elegir</t>
  </si>
  <si>
    <t xml:space="preserve">tipos de chapas para puerta</t>
  </si>
  <si>
    <t xml:space="preserve">Guía de medición y elección por tipo de puerta, con checklist para llevar al mostrador.</t>
  </si>
  <si>
    <t xml:space="preserve">Conocimiento general. Medidas: explicar cómo medir y llevar la chapa vieja al mostrador.</t>
  </si>
  <si>
    <t xml:space="preserve">Cómo medir y elegir tu chapa</t>
  </si>
  <si>
    <t xml:space="preserve">Cliente (idea #36)</t>
  </si>
  <si>
    <t xml:space="preserve">Diferencias entre chapa de sobreponer, de embutir y cerradura de alta seguridad</t>
  </si>
  <si>
    <t xml:space="preserve">B2C/B2B: Guía práctica para mejorar la protección, facilitando la decisión del cliente final según el tipo de puerta (madera, herrería, aluminio).</t>
  </si>
  <si>
    <t xml:space="preserve">B37</t>
  </si>
  <si>
    <t xml:space="preserve">Remachadoras manuales: cómo elegir la medida de los remaches</t>
  </si>
  <si>
    <t xml:space="preserve">remachadora manual</t>
  </si>
  <si>
    <t xml:space="preserve">Tabla de selección de remaches y broca para el instalador.</t>
  </si>
  <si>
    <t xml:space="preserve">Conocimiento general. Rangos de agarre: remitir al empaque del remache.</t>
  </si>
  <si>
    <t xml:space="preserve">Tabla de remaches: diámetro, largo y broca</t>
  </si>
  <si>
    <t xml:space="preserve">Cliente (idea #44)</t>
  </si>
  <si>
    <t xml:space="preserve">Diferencias entre remachadoras manuales y cómo elegir la medida de los remaches</t>
  </si>
  <si>
    <t xml:space="preserve">B2C: Amplía las habilidades DIY del cliente. B2B: Atrae a canceleros, instaladores de aluminio y hojalateros.</t>
  </si>
  <si>
    <t xml:space="preserve">B38</t>
  </si>
  <si>
    <t xml:space="preserve">Pasos para cambiar la pastilla termomagnética de tu centro de carga</t>
  </si>
  <si>
    <t xml:space="preserve">pastilla termomagnética</t>
  </si>
  <si>
    <t xml:space="preserve">Árbol de decisión: ¿lo puedo hacer yo o necesito electricista? con checklist de seguridad.</t>
  </si>
  <si>
    <t xml:space="preserve">Aviso de seguridad al inicio y recomendación de electricista ante cualquier duda. Sin números de norma; compatibilidad según la marca del centro de carga.</t>
  </si>
  <si>
    <t xml:space="preserve">Checklist de seguridad eléctrica del hogar</t>
  </si>
  <si>
    <t xml:space="preserve">Cliente (idea #25)</t>
  </si>
  <si>
    <t xml:space="preserve">B2C/B2B: Trata un tema de seguridad eléctrica residencial. El PDF de recompensa puede ser un 'Checklist de seguridad eléctrica del hogar'.</t>
  </si>
  <si>
    <t xml:space="preserve">B39</t>
  </si>
  <si>
    <t xml:space="preserve">Qué significan las siglas y números en los tubos de PVC: cédula 40, 80 y sanitarios</t>
  </si>
  <si>
    <t xml:space="preserve">cédula 40 y 80 pvc</t>
  </si>
  <si>
    <t xml:space="preserve">Glosario técnico de bolsillo para plomeros y vendedores del mostrador.</t>
  </si>
  <si>
    <t xml:space="preserve">Explicar el concepto (espesor de pared, diámetro nominal) sin tablas numéricas de presión; medidas exactas: remitir al marcaje del tubo y a la ficha del fabricante.</t>
  </si>
  <si>
    <t xml:space="preserve">Guía de bolsillo: tuberías de PVC</t>
  </si>
  <si>
    <t xml:space="preserve">Cliente (idea #26)</t>
  </si>
  <si>
    <t xml:space="preserve">Qué significan las siglas y números en los tubos de PVC (Cédula 40, 80, Sanitarios)</t>
  </si>
  <si>
    <t xml:space="preserve">B2B: Información técnica condensada que los plomeros y contratistas locales descargarán como material de consulta rápida de bolsillo.</t>
  </si>
  <si>
    <t xml:space="preserve">B40</t>
  </si>
  <si>
    <t xml:space="preserve">5 ventajas de surtir tus materiales de construcción en una ferretería de barrio</t>
  </si>
  <si>
    <t xml:space="preserve">ferretería en querétaro</t>
  </si>
  <si>
    <t xml:space="preserve">Voz de marca: asesoría presencial + compra en línea con entrega local, sin comparar con nombres concretos.</t>
  </si>
  <si>
    <t xml:space="preserve">Conocimiento general. Políticas de envío y recogida: leer las vigentes del sitio al redactar; sin tiempos prometidos.</t>
  </si>
  <si>
    <t xml:space="preserve">Checklist: qué llevar a la ferretería para comprar bien</t>
  </si>
  <si>
    <t xml:space="preserve">Cliente (idea #54)</t>
  </si>
  <si>
    <t xml:space="preserve">B2C/B2B: Fomenta el comercio local, resaltando el valor de la asesoría técnica presencial, tiempos de entrega rápidos y atención directa al profesional.</t>
  </si>
  <si>
    <t xml:space="preserve">B41</t>
  </si>
  <si>
    <t xml:space="preserve">Cómo limpiar y guardar tus brochas y rodillos para que te duren años</t>
  </si>
  <si>
    <t xml:space="preserve">cómo limpiar brochas</t>
  </si>
  <si>
    <t xml:space="preserve">Rutina de limpieza por tipo de pintura, ligada a la compra de consumibles.</t>
  </si>
  <si>
    <t xml:space="preserve">Conocimiento general. Residuos de solventes: no tirarlos al drenaje y consultar a la autoridad local; sin reglas específicas.</t>
  </si>
  <si>
    <t xml:space="preserve">Guía de limpieza y guardado de brochas y rodillos</t>
  </si>
  <si>
    <t xml:space="preserve">Cliente (idea #40)</t>
  </si>
  <si>
    <t xml:space="preserve">Cómo limpiar y almacenar tus brochas y rodillos para que te duren años</t>
  </si>
  <si>
    <t xml:space="preserve">B2C/B2B: Fomenta el consumo responsable y la técnica adecuada, vendiendo solventes, aguarrás y cepillos limpiadores.</t>
  </si>
  <si>
    <t xml:space="preserve">B42</t>
  </si>
  <si>
    <t xml:space="preserve">Tornillería de acero inoxidable: grados, dureza y cuándo es indispensable</t>
  </si>
  <si>
    <t xml:space="preserve">tornillería de acero inoxidable</t>
  </si>
  <si>
    <t xml:space="preserve">Posiciona a la ferretería como proveedor técnico; guía de selección por ambiente.</t>
  </si>
  <si>
    <t xml:space="preserve">Conocimiento general (304 y 316; corrosión galvánica). Sin valores de resistencia: remitir al fabricante.</t>
  </si>
  <si>
    <t xml:space="preserve">Guía de selección de tornillería por ambiente</t>
  </si>
  <si>
    <t xml:space="preserve">Cliente (idea #45)</t>
  </si>
  <si>
    <t xml:space="preserve">Qué es la tornillería de acero inoxidable, grados de dureza y cuándo es indispensable</t>
  </si>
  <si>
    <t xml:space="preserve">B2B: Enfoque en industria, techumbres o estructuras al exterior. Destaca a la ferretería como proveedora especializada y no solo básica.</t>
  </si>
  <si>
    <t xml:space="preserve">B43</t>
  </si>
  <si>
    <t xml:space="preserve">Silicones automotrices de alta temperatura vs selladores de construcción</t>
  </si>
  <si>
    <t xml:space="preserve">silicón de alta temperatura</t>
  </si>
  <si>
    <t xml:space="preserve">Aclara confusiones del mostrador separando gremio mecánico de albañiles y plomeros.</t>
  </si>
  <si>
    <t xml:space="preserve">Conocimiento general. Temperaturas de servicio: remitir a la etiqueta de cada producto.</t>
  </si>
  <si>
    <t xml:space="preserve">Tabla: silicón automotriz vs sellador de construcción</t>
  </si>
  <si>
    <t xml:space="preserve">Cliente (idea #53)</t>
  </si>
  <si>
    <t xml:space="preserve">Guía rápida: Silicones automotrices de alta temperatura vs selladores de construcción</t>
  </si>
  <si>
    <t xml:space="preserve">B2B: Aclara confusiones comunes en mostrador, separando la venta al gremio mecánico de los albañiles o plomeros.</t>
  </si>
  <si>
    <t xml:space="preserve">B44</t>
  </si>
  <si>
    <t xml:space="preserve">Enero 2027</t>
  </si>
  <si>
    <t xml:space="preserve">Cómo organizar el tablero de herramientas de tu taller o garaje en casa</t>
  </si>
  <si>
    <t xml:space="preserve">organizar herramientas</t>
  </si>
  <si>
    <t xml:space="preserve">Planeador de zonas y lista de compra por tamaño de pared.</t>
  </si>
  <si>
    <t xml:space="preserve">Conocimiento general. Enlazar solo accesorios que existan en el catálogo.</t>
  </si>
  <si>
    <t xml:space="preserve">Planeador de tablero de herramientas</t>
  </si>
  <si>
    <t xml:space="preserve">Cliente (idea #23)</t>
  </si>
  <si>
    <t xml:space="preserve">B2C: Contenido inspiracional (ideal para redes visuales). B2B: Fomenta la venta de organizadores, ganchos, ménsulas y tableros perforados.</t>
  </si>
  <si>
    <t xml:space="preserve">B45</t>
  </si>
  <si>
    <t xml:space="preserve">Guía de equipo de protección personal (EPP) obligatorio en la obra</t>
  </si>
  <si>
    <t xml:space="preserve">equipo de protección personal en obra</t>
  </si>
  <si>
    <t xml:space="preserve">Checklist por actividad de obra, útil para compras por volumen.</t>
  </si>
  <si>
    <t xml:space="preserve">Conocimiento general de EPP. Sin números de norma ni obligaciones legales específicas; sugerir consultar al responsable de seguridad e higiene.</t>
  </si>
  <si>
    <t xml:space="preserve">Checklist de EPP por actividad en obra</t>
  </si>
  <si>
    <t xml:space="preserve">Cliente (idea #22)</t>
  </si>
  <si>
    <t xml:space="preserve">B2B: Da valor a dueños de constructoras y talleres para cumplir normativas, impulsando ventas por volumen de guantes, cascos, lentes y botas.</t>
  </si>
  <si>
    <t xml:space="preserve">B46</t>
  </si>
  <si>
    <t xml:space="preserve">Medida milimétrica vs estándar (pulgadas) en llaves y dados: cómo identificarlas</t>
  </si>
  <si>
    <t xml:space="preserve">llaves milimétricas vs estándar</t>
  </si>
  <si>
    <t xml:space="preserve">Tabla de equivalencias cercanas y advertencia de errores frecuentes.</t>
  </si>
  <si>
    <t xml:space="preserve">Conversión exacta 1 pulgada = 25.4 mm; la tabla se calcula, no se consulta.</t>
  </si>
  <si>
    <t xml:space="preserve">Tabla de equivalencias: llaves y dados mm / pulgadas</t>
  </si>
  <si>
    <t xml:space="preserve">Cliente (idea #3)</t>
  </si>
  <si>
    <t xml:space="preserve">Diferencia entre medida milimétrica y estándar (pulgadas) en llaves y dados</t>
  </si>
  <si>
    <t xml:space="preserve">B2C/B2B: Despeja una de las dudas más recurrentes en el mostrador, evitando devoluciones y errores en mecánica y armados.</t>
  </si>
  <si>
    <t xml:space="preserve">B47</t>
  </si>
  <si>
    <t xml:space="preserve">Herramientas para tablaroca: lo que necesitas para levantar tu primer muro falso</t>
  </si>
  <si>
    <t xml:space="preserve">herramientas para tablaroca</t>
  </si>
  <si>
    <t xml:space="preserve">Lista paso a paso y cálculo de materiales de 1 m² para principiantes.</t>
  </si>
  <si>
    <t xml:space="preserve">Medida estándar del tablero (1,22 × 2,44 m). Rendimientos de pasta y tornillos: remitir al empaque; sin cifras fijas por m².</t>
  </si>
  <si>
    <t xml:space="preserve">Calculadora de materiales: 1 m² de tablaroca</t>
  </si>
  <si>
    <t xml:space="preserve">Cliente (idea #52)</t>
  </si>
  <si>
    <t xml:space="preserve">Herramientas para tablaroca: Lo que necesitas para levantar tu primer muro falso</t>
  </si>
  <si>
    <t xml:space="preserve">B2C/B2B: Apunta a la fuerte tendencia de la construcción ligera. El PDF puede ser una 'Calculadora de materiales para 1m2 de tablaroca'.</t>
  </si>
  <si>
    <t xml:space="preserve">B48</t>
  </si>
  <si>
    <t xml:space="preserve">Diferencias entre soldadura 6013, 7018 y otras para trabajos de herrería básica</t>
  </si>
  <si>
    <t xml:space="preserve">soldadura 6013 y 7018</t>
  </si>
  <si>
    <t xml:space="preserve">Tabla por trabajo y diámetro, con seguridad y almacenamiento.</t>
  </si>
  <si>
    <t xml:space="preserve">Conocimiento general (6013 uso general, 7018 bajo hidrógeno). Corrientes: remitir al empaque del electrodo.</t>
  </si>
  <si>
    <t xml:space="preserve">Guía rápida de electrodos para soldadura</t>
  </si>
  <si>
    <t xml:space="preserve">Cliente (idea #19)</t>
  </si>
  <si>
    <t xml:space="preserve">B2B/B2C Avanzado: Atrae a herreros locales y aficionados, posicionando a la ferretería como proveedora seria para talleres metalmecánicos.</t>
  </si>
  <si>
    <t xml:space="preserve">B49</t>
  </si>
  <si>
    <t xml:space="preserve">Cómo elegir el candado adecuado para motocicletas, bicicletas y rejas perimetrales</t>
  </si>
  <si>
    <t xml:space="preserve">candado para moto</t>
  </si>
  <si>
    <t xml:space="preserve">Tabla por vehículo/ reja y buenas prácticas de aseguramiento.</t>
  </si>
  <si>
    <t xml:space="preserve">Conocimiento general. Sin estadísticas ni promesas de inviolabilidad.</t>
  </si>
  <si>
    <t xml:space="preserve">Guía de candados: moto, bicicleta y reja</t>
  </si>
  <si>
    <t xml:space="preserve">Cliente (idea #43)</t>
  </si>
  <si>
    <t xml:space="preserve">B2C: Soluciona problemas de seguridad urbana diarios. B2B: Amplía el catálogo de candados de perno, cadena o cable de acero reforzado.</t>
  </si>
  <si>
    <t xml:space="preserve">B50</t>
  </si>
  <si>
    <t xml:space="preserve">Cómo usar un multímetro digital básico para revisar contactos, pilas y fusibles</t>
  </si>
  <si>
    <t xml:space="preserve">cómo usar un multímetro</t>
  </si>
  <si>
    <t xml:space="preserve">Tabla de lecturas esperadas para hogar con advertencias de seguridad.</t>
  </si>
  <si>
    <t xml:space="preserve">Conocimiento general. Aviso de seguridad al medir en corriente alterna.</t>
  </si>
  <si>
    <t xml:space="preserve">Lecturas básicas de multímetro para el hogar</t>
  </si>
  <si>
    <t xml:space="preserve">Cliente (idea #51)</t>
  </si>
  <si>
    <t xml:space="preserve">B2C/B2B: Reduce devoluciones por 'aparatos quemados' educando al cliente. El PDF puede ser 'Lecturas básicas de multímetro para el hogar'.</t>
  </si>
  <si>
    <t xml:space="preserve">B51</t>
  </si>
  <si>
    <t xml:space="preserve">Tipos de discos de corte: diamante, abrasivo y sierra para madera</t>
  </si>
  <si>
    <t xml:space="preserve">tipos de discos de corte</t>
  </si>
  <si>
    <t xml:space="preserve">Contenido crítico de seguridad con tabla disco–herramienta–material.</t>
  </si>
  <si>
    <t xml:space="preserve">Regla de seguridad estable: nunca discos de sierra en esmeriladora angular. RPM y diámetro: remitir al marcaje del disco.</t>
  </si>
  <si>
    <t xml:space="preserve">Tabla de seguridad: discos de corte</t>
  </si>
  <si>
    <t xml:space="preserve">Cliente (idea #18)</t>
  </si>
  <si>
    <t xml:space="preserve">Tipos de discos de corte: Diamante, abrasivo y sierra para madera</t>
  </si>
  <si>
    <t xml:space="preserve">B2C/B2B: Información de seguridad crítica. Evita accidentes mortales (como usar discos dentados en esmeriladoras) y profesionaliza al cliente.</t>
  </si>
  <si>
    <t xml:space="preserve">B52</t>
  </si>
  <si>
    <t xml:space="preserve">Mangueras de aire y agua industriales vs mangueras de jardín: ventajas y usos</t>
  </si>
  <si>
    <t xml:space="preserve">manguera industrial</t>
  </si>
  <si>
    <t xml:space="preserve">Guía de selección por uso y presión; enfoque en talleres y lavados.</t>
  </si>
  <si>
    <t xml:space="preserve">Conocimiento general. Presión de trabajo: remitir al marcaje de la manguera.</t>
  </si>
  <si>
    <t xml:space="preserve">Tabla de selección de mangueras industriales</t>
  </si>
  <si>
    <t xml:space="preserve">Cliente (idea #33)</t>
  </si>
  <si>
    <t xml:space="preserve">Ventajas de usar mangueras de aire y agua industriales vs mangueras de jardín</t>
  </si>
  <si>
    <t xml:space="preserve">B2B: Enfoque a negocios e industria ligera locales (talleres mecánicos, lavados de autos, fábricas pequeñas).</t>
  </si>
  <si>
    <t xml:space="preserve">B53</t>
  </si>
  <si>
    <t xml:space="preserve">Mantenimiento básico para prolongar la vida de tus herramientas eléctricas</t>
  </si>
  <si>
    <t xml:space="preserve">mantenimiento de herramientas eléctricas</t>
  </si>
  <si>
    <t xml:space="preserve">Calendario práctico por frecuencia de uso.</t>
  </si>
  <si>
    <t xml:space="preserve">Conocimiento general. Baterías y carbones: remitir al manual de la herramienta.</t>
  </si>
  <si>
    <t xml:space="preserve">Calendario de mantenimiento de herramientas eléctricas</t>
  </si>
  <si>
    <t xml:space="preserve">Cliente (idea #11)</t>
  </si>
  <si>
    <t xml:space="preserve">B2C/B2B: Fomenta el cuidado de la inversión (taladros, esmeriles), generando lealtad al posicionar a la ferretería como una experta que cuida al cliente.</t>
  </si>
  <si>
    <t xml:space="preserve">B54</t>
  </si>
  <si>
    <t xml:space="preserve">Diferencia entre cemento blanco, cemento gris, mortero y yeso</t>
  </si>
  <si>
    <t xml:space="preserve">diferencia entre cemento y mortero</t>
  </si>
  <si>
    <t xml:space="preserve">Tabla de decisión por reparación y errores comunes.</t>
  </si>
  <si>
    <t xml:space="preserve">Conocimiento general. Proporciones de mezcla: remitir al empaque.</t>
  </si>
  <si>
    <t xml:space="preserve">Guía rápida de materiales de albañilería</t>
  </si>
  <si>
    <t xml:space="preserve">Cliente (idea #24)</t>
  </si>
  <si>
    <t xml:space="preserve">B2C: Evita desastres en reparaciones pequeñas. B2B: Conocimiento fundamental y básico para vendedores de mostrador de reciente ingreso.</t>
  </si>
  <si>
    <t xml:space="preserve">B55</t>
  </si>
  <si>
    <t xml:space="preserve">Guía de flexómetros: cómo leer las fracciones de pulgada y los milímetros</t>
  </si>
  <si>
    <t xml:space="preserve">cómo leer un flexómetro</t>
  </si>
  <si>
    <t xml:space="preserve">Tabla de conversión pensada para celular y práctica de lectura.</t>
  </si>
  <si>
    <t xml:space="preserve">Conocimiento general; conversión exacta. Marcas especiales descritas de forma general.</t>
  </si>
  <si>
    <t xml:space="preserve">Tabla de conversión: milímetros y pulgadas</t>
  </si>
  <si>
    <t xml:space="preserve">Cliente (idea #47)</t>
  </si>
  <si>
    <t xml:space="preserve">Guía de flexómetros: Cómo leer correctamente las fracciones de pulgada y milímetros</t>
  </si>
  <si>
    <t xml:space="preserve">B2C: Alfabetización básica para el entusiasta. B2B: El PDF es una 'Tabla de conversiones milímetros/pulgadas' perfecta para llevar en el celular.</t>
  </si>
  <si>
    <t xml:space="preserve">B56</t>
  </si>
  <si>
    <t xml:space="preserve">Guía rápida de lijas: qué número de grano usar para madera, metal o agua</t>
  </si>
  <si>
    <t xml:space="preserve">tipos de lijas</t>
  </si>
  <si>
    <t xml:space="preserve">Secuencia de granos por proyecto en una tabla simple.</t>
  </si>
  <si>
    <t xml:space="preserve">Conocimiento general. Granos habituales, sin ser prescriptivos.</t>
  </si>
  <si>
    <t xml:space="preserve">Tabla de lijas: granos y secuencias</t>
  </si>
  <si>
    <t xml:space="preserve">Cliente (idea #32)</t>
  </si>
  <si>
    <t xml:space="preserve">Guía rápida de lijas: Qué número de grano usar para madera, metal o agua</t>
  </si>
  <si>
    <t xml:space="preserve">B2C: Asegura acabados perfectos. B2B: Evita errores del mostrador al surtir listas de materiales para carpinteros y pintores de autos.</t>
  </si>
  <si>
    <t xml:space="preserve">B57</t>
  </si>
  <si>
    <t xml:space="preserve">Reserva</t>
  </si>
  <si>
    <t xml:space="preserve">Catálogo de herramientas manuales para preparar tu jardín o patio en primavera</t>
  </si>
  <si>
    <t xml:space="preserve">herramientas de jardinería</t>
  </si>
  <si>
    <t xml:space="preserve">Informacional / estacional</t>
  </si>
  <si>
    <t xml:space="preserve">Lista estacional por tarea.</t>
  </si>
  <si>
    <t xml:space="preserve">Conocimiento general. Sin recomendaciones agronómicas específicas.</t>
  </si>
  <si>
    <t xml:space="preserve">Calendario de jardín: primavera</t>
  </si>
  <si>
    <t xml:space="preserve">Cliente (idea #55)</t>
  </si>
  <si>
    <t xml:space="preserve">B2C: Contenido estacional para rotar inventario de tijeras de podar, mangueras, palas, aspersores y fertilizantes.</t>
  </si>
  <si>
    <t xml:space="preserve">B58</t>
  </si>
  <si>
    <t xml:space="preserve">Impermeabilizantes acrílicos vs prefabricados (manto): cuál conviene más</t>
  </si>
  <si>
    <t xml:space="preserve">impermeabilizante acrílico vs manto</t>
  </si>
  <si>
    <t xml:space="preserve">Comparativa por inversión a largo plazo; atrae a contratistas e instaladores.</t>
  </si>
  <si>
    <t xml:space="preserve">Conocimiento general. Duración: remitir a la garantía del fabricante.</t>
  </si>
  <si>
    <t xml:space="preserve">Guía de impermeabilización de azotea</t>
  </si>
  <si>
    <t xml:space="preserve">Cliente (idea #21)</t>
  </si>
  <si>
    <t xml:space="preserve">Impermeabilizantes acrílicos vs prefabricados (manto): Cuál conviene más</t>
  </si>
  <si>
    <t xml:space="preserve">B2C: Educa sobre la inversión a largo plazo en mantenimiento. B2B: Atrae a contratistas e instaladores que buscan proveeduría estable.</t>
  </si>
  <si>
    <t xml:space="preserve">Slug</t>
  </si>
  <si>
    <t xml:space="preserve">URL canónica</t>
  </si>
  <si>
    <t xml:space="preserve">Title tag (≤60)</t>
  </si>
  <si>
    <t xml:space="preserve">Car.</t>
  </si>
  <si>
    <t xml:space="preserve">Meta description (120–155)</t>
  </si>
  <si>
    <t xml:space="preserve">H1</t>
  </si>
  <si>
    <t xml:space="preserve">Keyword principal</t>
  </si>
  <si>
    <t xml:space="preserve">Keywords secundarias / long-tail</t>
  </si>
  <si>
    <t xml:space="preserve">Preguntas frecuentes (sección FAQ)</t>
  </si>
  <si>
    <t xml:space="preserve">Estructura (H2)</t>
  </si>
  <si>
    <t xml:space="preserve">Puntos clave y reglas de contenido</t>
  </si>
  <si>
    <t xml:space="preserve">Extensión (palabras)</t>
  </si>
  <si>
    <t xml:space="preserve">Schema.org</t>
  </si>
  <si>
    <t xml:space="preserve">Productos / categorías a enlazar</t>
  </si>
  <si>
    <t xml:space="preserve">Enlaces internos (ya publicados): enlazar a estos y agregar enlace de vuelta desde cada uno</t>
  </si>
  <si>
    <t xml:space="preserve">Enlaces futuros (se agregan cuando se publique el destino)</t>
  </si>
  <si>
    <t xml:space="preserve">Pilar del clúster</t>
  </si>
  <si>
    <t xml:space="preserve">Enfoque local Querétaro</t>
  </si>
  <si>
    <t xml:space="preserve">CTA hacia Club 57 (guía PDF)</t>
  </si>
  <si>
    <t xml:space="preserve">Estado brief</t>
  </si>
  <si>
    <t xml:space="preserve">marcas-truper-pretul-foset-volteck-guia</t>
  </si>
  <si>
    <t xml:space="preserve">Marcas Truper: Pretul, Foset, Volteck y cuál elegir</t>
  </si>
  <si>
    <t xml:space="preserve">Qué es cada marca de la familia Truper (Pretul, Foset, Volteck, Fiero, Hermex y Klintek), para qué sirve y cómo elegir según tu trabajo y presupuesto.</t>
  </si>
  <si>
    <t xml:space="preserve">pretul vs truper; qué es pretul; volteck material eléctrico; foset herramientas; hermex; fiero; klintek</t>
  </si>
  <si>
    <t xml:space="preserve">• ¿Qué diferencia hay entre Truper y Pretul?
• ¿Qué marcas pertenecen a Truper?
• ¿Qué marca conviene para uso doméstico y cuál para uso diario de taller?</t>
  </si>
  <si>
    <t xml:space="preserve">1. La familia de marcas que vendemos en Ferretería 57
2. Truper: la marca principal y qué ofrece
3. Una por una: Pretul, Foset, Volteck, Fiero, Hermex y Klintek (qué línea cubre y para quién)
4. Truper vs Pretul: cuándo conviene pagar más y cuándo no (frecuencia de uso, exigencia, presupuesto)
5. Tabla: tu tarea → la marca o línea que conviene
6. Cómo encontrar cada marca en nuestro catálogo
7. Preguntas frecuentes</t>
  </si>
  <si>
    <t xml:space="preserve">• Tono honesto: no denigrar ninguna marca; el criterio es uso (ocasional vs diario), exigencia del trabajo y presupuesto
• Tabla comparativa solo con texto (sin imágenes), una fila por marca: línea de producto, usuario típico, ejemplo de producto del catálogo
• Describir cada marca solo con lo que muestra el catálogo del sitio; no afirmar líneas ni garantías que no estén ahí
• Pieza ancla de marca: enlaza a todos los clústeres</t>
  </si>
  <si>
    <t xml:space="preserve">2.000–2.500</t>
  </si>
  <si>
    <t xml:space="preserve">BlogPosting + BreadcrumbList + FAQPage</t>
  </si>
  <si>
    <t xml:space="preserve">Catálogo completo por marca (filtro/ página de marca si existe); ejemplos de 1 producto por marca con enlace a su ficha</t>
  </si>
  <si>
    <t xml:space="preserve">B02 · Herramientas básicas para el hogar: las 15 esenciales → ancla: «herramientas básicas para el hogar»
B03 · Cómo escoger la broca correcta según el material → ancla: «tipos de brocas»
B05 · Calibre de cable eléctrico para cada electrodoméstico → ancla: «calibre de cable para casa»
B08 · Brocha o rodillo: cuál usar con pintura vinílica o esmalte → ancla: «brocha o rodillo»</t>
  </si>
  <si>
    <t xml:space="preserve">B10 · Club 57 de Ferretería 57: cómo ganar puntos y beneficios → ancla: «club 57 ferretería 57»
B33 · Merchandising para ferreterías: exhibe y vende más → ancla: «merchandising para ferreterías»
B40 · 5 ventajas de comprar en una ferretería de barrio → ancla: «ferretería en querétaro»</t>
  </si>
  <si>
    <t xml:space="preserve">(es el pilar)</t>
  </si>
  <si>
    <t xml:space="preserve">Mencionar que se puede ver y comprar en tienda (Lateral Carretera Federal 57 No. 230, Casa Blanca) y en línea con envío local.</t>
  </si>
  <si>
    <t xml:space="preserve">Descarga gratis la guía «Guía de marcas Truper: cuál elegir según tu trabajo» al registrarte en Club 57.</t>
  </si>
  <si>
    <t xml:space="preserve">Brief listo</t>
  </si>
  <si>
    <t xml:space="preserve">kit-basico-herramientas-hogar</t>
  </si>
  <si>
    <t xml:space="preserve">Herramientas básicas para el hogar: las 15 esenciales</t>
  </si>
  <si>
    <t xml:space="preserve">Arma tu caja de herramientas sin gastar de más: 15 herramientas básicas para el hogar, en tres niveles de inversión, con consejos para elegir cada una.</t>
  </si>
  <si>
    <t xml:space="preserve">caja de herramientas básica; qué herramientas necesito en casa; kit de herramientas para principiantes; herramientas esenciales</t>
  </si>
  <si>
    <t xml:space="preserve">• ¿Qué herramientas básicas debe tener una casa?
• ¿Cuánto cuesta armar una caja de herramientas básica?
• ¿Qué herramienta eléctrica conviene comprar primero?</t>
  </si>
  <si>
    <t xml:space="preserve">1. Antes de comprar: qué vas a reparar realmente
2. Nivel 1 – lo indispensable (martillo, desarmadores, pinzas, flexómetro, nivel, cutter, llave ajustable…)
3. Nivel 2 – cuando ya haces más cosas (juego de llaves, serrucho/segueta, pistola de silicón, taladro)
4. Nivel 3 – para proyectos (rotomartillo, caladora, multímetro)
5. Cómo elegir calidad sin pagar de más
6. Cómo guardar y ordenar tu caja
7. Preguntas frecuentes</t>
  </si>
  <si>
    <t xml:space="preserve">• 15 herramientas distribuidas en 3 niveles; cada una con: para qué sirve, qué buscar al comprarla, error común
• Incluir el vínculo hacia cada artículo detallado (brocas, pinzas, flexómetros, multímetro)
• Sin precios fijos en el texto: remitir al catálogo (los precios cambian)
• Pieza pilar del clúster Herramientas</t>
  </si>
  <si>
    <t xml:space="preserve">Martillos, desarmadores, pinzas, flexómetros, niveles, cutter, llaves ajustables, taladros (según catálogo)</t>
  </si>
  <si>
    <t xml:space="preserve">B01 · Marcas Truper: Pretul, Foset, Volteck y cuál elegir → ancla: «marcas truper»
B03 · Cómo escoger la broca correcta según el material → ancla: «tipos de brocas»</t>
  </si>
  <si>
    <t xml:space="preserve">B09 · Tipos de taquetes: cuál usar en tablaroca y concreto → ancla: «tipos de taquetes»
B10 · Club 57 de Ferretería 57: cómo ganar puntos y beneficios → ancla: «club 57 ferretería 57»
B20 · Cómo instalar un soporte de TV en la pared, nivelado → ancla: «cómo instalar soporte de tv»
B25 · Tipos de pinzas: de presión, electricista, punta y corte → ancla: «tipos de pinzas»
B26 · Cómo quitar el óxido de herramientas y metales → ancla: «cómo quitar el óxido»
B28 · Tipos de pegamentos: contacto, epóxico y cianoacrilato → ancla: «tipos de pegamentos»
B29 · Cómo cambiar el sapo y herrajes del tanque del escusado → ancla: «cambiar sapo del tanque del escusado»
B35 · Herramientas para la cajuela del auto en emergencias → ancla: «kit de emergencia para auto»
B44 · Cómo organizar el tablero de herramientas del garaje → ancla: «organizar herramientas»
B46 · Llaves y dados: medida milimétrica vs pulgadas → ancla: «llaves milimétricas vs estándar»
B50 · Cómo usar un multímetro: contactos, pilas y fusibles → ancla: «cómo usar un multímetro»
B51 · Discos de corte: diamante, abrasivo y para madera → ancla: «tipos de discos de corte»
B53 · Mantenimiento de herramientas eléctricas: más vida útil → ancla: «mantenimiento de herramientas eléctricas»
B55 · Cómo leer un flexómetro: pulgadas, fracciones y mm → ancla: «cómo leer un flexómetro»
B56 · Guía de lijas: qué grano usar en madera, metal y agua → ancla: «tipos de lijas»
B57 · Herramientas para preparar tu jardín en primavera → ancla: «herramientas de jardinería»</t>
  </si>
  <si>
    <t xml:space="preserve">Mencionar asesoría presencial en el mostrador para armar el kit.</t>
  </si>
  <si>
    <t xml:space="preserve">Descarga gratis la guía «Checklist: caja de herramientas básica del hogar» al registrarte en Club 57.</t>
  </si>
  <si>
    <t xml:space="preserve">como-escoger-broca-correcta-para-cada-material</t>
  </si>
  <si>
    <t xml:space="preserve">Cómo escoger la broca correcta según el material</t>
  </si>
  <si>
    <t xml:space="preserve">Aprende qué broca usar en concreto, madera, metal, tablaroca o azulejo, cómo elegir el diámetro y evita dañar tus muros o romper el material.</t>
  </si>
  <si>
    <t xml:space="preserve">qué broca usar para concreto; broca para pared; brocas para metal; brocas para madera; broca para azulejo; tamaño de broca para taquete</t>
  </si>
  <si>
    <t xml:space="preserve">• ¿Qué broca se usa para perforar concreto?
• ¿Cómo sé qué diámetro de broca necesito para un taquete?
• ¿Se puede usar la misma broca para madera y para metal?</t>
  </si>
  <si>
    <t xml:space="preserve">1. Por qué importa elegir la broca correcta (qué se daña si te equivocas)
2. Brocas por material: concreto y mampostería, madera, metal, vidrio/azulejo, tablaroca
3. Partes de una broca: vástago, punta, estrías, recubrimientos
4. Cómo elegir el diámetro (relación broca–taquete–tornillo) y la profundidad
5. Taladro, taladro percutor o rotomartillo: cuál va con cada broca
6. Errores comunes (velocidad, presión, no marcar, no limpiar el polvo)
7. Preguntas frecuentes</t>
  </si>
  <si>
    <t xml:space="preserve">• Concreto/mampostería: punta de carburo de tungsteno y uso con percusión; azulejo y porcelanato: broca específica y sin percusión
• Metal: acero rápido (HSS); madera: brocas de punta, de pala, sierra copa
• Regla práctica: broca del mismo diámetro que el taquete y un poco más profunda que su longitud
• Tabla de tres columnas: material / broca / consejo de uso. Evitar tecnicismos sin explicar
• Venta cruzada natural: broca + taquete + tornillo (explicitar el trío)</t>
  </si>
  <si>
    <t xml:space="preserve">Brocas para concreto, metal y madera; sierras copa; taquetes; tornillería; taladros y rotomartillos</t>
  </si>
  <si>
    <t xml:space="preserve">B01 · Marcas Truper: Pretul, Foset, Volteck y cuál elegir → ancla: «marcas truper»
B02 · Herramientas básicas para el hogar: las 15 esenciales → ancla: «herramientas básicas para el hogar»</t>
  </si>
  <si>
    <t xml:space="preserve">B09 · Tipos de taquetes: cuál usar en tablaroca y concreto → ancla: «tipos de taquetes»
B20 · Cómo instalar un soporte de TV en la pared, nivelado → ancla: «cómo instalar soporte de tv»
B28 · Tipos de pegamentos: contacto, epóxico y cianoacrilato → ancla: «tipos de pegamentos»
B33 · Merchandising para ferreterías: exhibe y vende más → ancla: «merchandising para ferreterías»
B37 · Remachadora manual y medida de remaches: cómo elegir → ancla: «remachadora manual»
B42 · Tornillería de acero inoxidable: grados y cuándo usarla → ancla: «tornillería de acero inoxidable»
B44 · Cómo organizar el tablero de herramientas del garaje → ancla: «organizar herramientas»
B47 · Herramientas para tablaroca: tu primer muro falso → ancla: «herramientas para tablaroca»
B48 · Soldadura 6013 vs 7018: diferencias y cuándo usarlas → ancla: «soldadura 6013 y 7018»
B53 · Mantenimiento de herramientas eléctricas: más vida útil → ancla: «mantenimiento de herramientas eléctricas»
B54 · Cemento blanco, gris, mortero y yeso: diferencias → ancla: «diferencia entre cemento y mortero»
B56 · Guía de lijas: qué grano usar en madera, metal y agua → ancla: «tipos de lijas»</t>
  </si>
  <si>
    <t xml:space="preserve">Muros de concreto y tabique de la zona (Bajío): mencionar que el tabique hueco y el block piden otro tratamiento (ver artículo de taquetes).</t>
  </si>
  <si>
    <t xml:space="preserve">Descarga gratis la guía «Tabla rápida: broca, taquete y tornillo por material» al registrarte en Club 57.</t>
  </si>
  <si>
    <t xml:space="preserve">diferencias-tuberia-ppr-pvc-cpvc-cobre</t>
  </si>
  <si>
    <t xml:space="preserve">Tubería PPR, PVC, CPVC o cobre: diferencias y cuál usar</t>
  </si>
  <si>
    <t xml:space="preserve">Compara las tuberías PPR, PVC, CPVC y cobre: costo, resistencia, temperatura, instalación y en qué casos conviene cada una en tu casa u obra.</t>
  </si>
  <si>
    <t xml:space="preserve">tubería ppr vs cobre; cpvc para agua caliente; qué tubería usar para agua potable; tubería para agua caliente; ppr ventajas</t>
  </si>
  <si>
    <t xml:space="preserve">• ¿Cuál es mejor, tubería PPR o cobre?
• ¿Qué tubería se usa para agua caliente en casa?
• ¿Se puede unir tubería PVC con CPVC o con PPR?</t>
  </si>
  <si>
    <t xml:space="preserve">1. Cuatro materiales, cuatro formas de unir (cementado, termofusión, soldadura)
2. PVC hidráulico: agua fría y usos
3. CPVC: agua caliente y fría
4. PPR: termofusión, durabilidad y herramienta necesaria
5. Cobre: ventajas, costo y mantenimiento
6. Tabla comparativa: costo, temperatura, instalación, vida útil, herramienta
7. Qué conviene en una casa de Querétaro (agua dura y sarro)
8. Preguntas frecuentes</t>
  </si>
  <si>
    <t xml:space="preserve">• Cuidar rigor: límites de temperatura y presión solo con ficha técnica del fabricante
• Aclarar que PVC sanitario/drenaje es otro producto (ver artículo de cédulas)
• Mencionar herramientas y consumibles: termofusora, cortatubos, cemento solvente, soldadura, cinta
• Tabla comparativa solo en texto; sin imágenes</t>
  </si>
  <si>
    <t xml:space="preserve">Tubería y conexiones PPR, PVC, CPVC y cobre; termofusoras; cortatubos; cementos; cinta teflón (ver catálogo)</t>
  </si>
  <si>
    <t xml:space="preserve">B07 · Tinaco o cisterna en Querétaro: guía de instalación → ancla: «instalar tinaco»</t>
  </si>
  <si>
    <t xml:space="preserve">B10 · Club 57 de Ferretería 57: cómo ganar puntos y beneficios → ancla: «club 57 ferretería 57»
B11 · Cómo destapar el lavabo sin dañar la tubería de PVC → ancla: «cómo destapar un lavabo»
B13 · Cinta teflón: para qué sirve y cómo se aplica bien → ancla: «cinta teflón»
B14 · Mantenimiento del calentador solar antes del frío → ancla: «mantenimiento calentador solar»
B17 · Cómo purgar un boiler para quitarle el sarro paso a paso → ancla: «purgar boiler»
B18 · Bomba de agua: periférica o centrífuga, cómo elegir → ancla: «bomba de agua para casa»
B19 · 10 herramientas para iniciar tu negocio de plomería → ancla: «herramientas de plomero»
B23 · Por qué baja la presión del agua en la regadera → ancla: «poca presión de agua en la regadera»
B28 · Tipos de pegamentos: contacto, epóxico y cianoacrilato → ancla: «tipos de pegamentos»
B29 · Cómo cambiar el sapo y herrajes del tanque del escusado → ancla: «cambiar sapo del tanque del escusado»
B32 · Cómo reparar una fuga en la llave mezcladora → ancla: «reparar llave mezcladora»
B39 · Tubos de PVC: qué significan cédula 40, 80 y sanitario → ancla: «cédula 40 y 80 pvc»</t>
  </si>
  <si>
    <t xml:space="preserve">Contexto local cualitativo del Bajío (clima, agua, comercio) sin cifras, estadísticas ni fechas.</t>
  </si>
  <si>
    <t xml:space="preserve">Descarga gratis la guía «Comparador de tuberías: PPR, PVC, CPVC y cobre» al registrarte en Club 57.</t>
  </si>
  <si>
    <t xml:space="preserve">calibre-de-cable-electrico-para-cada-electrodomestico</t>
  </si>
  <si>
    <t xml:space="preserve">Calibre de cable eléctrico para cada electrodoméstico</t>
  </si>
  <si>
    <t xml:space="preserve">Qué calibre de cable necesitas para contactos, iluminación, minisplit, refrigerador y más. Cómo calcular por amperes y evita sobrecargas.</t>
  </si>
  <si>
    <t xml:space="preserve">qué calibre de cable usar; cable calibre 12 o 14; calibre de cable para minisplit; tabla de calibres de cable awg; cable thw</t>
  </si>
  <si>
    <t xml:space="preserve">• ¿Qué calibre de cable se usa para los contactos de una casa?
• ¿Qué pasa si uso un cable de menor calibre del necesario?
• ¿Cómo calculo el calibre según los watts de un aparato?</t>
  </si>
  <si>
    <t xml:space="preserve">1. Por qué el calibre importa (calor, caídas de voltaje, riesgo de incendio)
2. Cómo leer el calibre: AWG, sección y capacidad en amperes
3. Fórmula fácil: watts ÷ volts = amperes (ejemplo resuelto)
4. Tabla orientativa por uso: iluminación, contactos, minisplit, boiler, lavadora, estufa eléctrica
5. Tipos de cable (THW, THHW-LS, flexible) y colores
6. Cuándo llamar a un electricista
7. Preguntas frecuentes</t>
  </si>
  <si>
    <t xml:space="preserve">• Contenido de seguridad: aviso al inicio de que la tabla es orientativa y que la instalación la valida un electricista; sin citar números de norma
• Regla práctica estándar: 14 AWG para 15 A, 12 AWG para 20 A y 10 AWG para 30 A; ejemplo numérico con 127 V y margen de seguridad en cargas continuas
• Evitar recomendar modificar el centro de carga sin electricista
• Venta ligada a Volteck/Truper solo si el catálogo lo respalda</t>
  </si>
  <si>
    <t xml:space="preserve">Cable THW/THHW, cable flexible, interruptores termomagnéticos, centros de carga, conectores (ver catálogo)</t>
  </si>
  <si>
    <t xml:space="preserve">B01 · Marcas Truper: Pretul, Foset, Volteck y cuál elegir → ancla: «marcas truper»</t>
  </si>
  <si>
    <t xml:space="preserve">B10 · Club 57 de Ferretería 57: cómo ganar puntos y beneficios → ancla: «club 57 ferretería 57»
B15 · Diablitos y falsos contactos: riesgos de tu instalación → ancla: «diablito eléctrico peligro»
B16 · Conectores eléctricos: capuchones, regletas y cinta → ancla: «conectores eléctricos»
B21 · Focos LED vs ahorradores: lúmenes, watts y color → ancla: «focos led vs ahorradores»
B38 · Cómo cambiar una pastilla termomagnética con seguridad → ancla: «pastilla termomagnética»
B50 · Cómo usar un multímetro: contactos, pilas y fusibles → ancla: «cómo usar un multímetro»</t>
  </si>
  <si>
    <t xml:space="preserve">Descarga gratis la guía «Tabla de calibres: qué cable para cada aparato» al registrarte en Club 57.</t>
  </si>
  <si>
    <t xml:space="preserve">salitre-y-humedad-en-muros-queretaro</t>
  </si>
  <si>
    <t xml:space="preserve">Salitre y humedad en muros en Querétaro: cómo evitarlos</t>
  </si>
  <si>
    <t xml:space="preserve">Por qué sale salitre en tus muros, cómo eliminarlo y qué productos usar para proteger tu casa de la humedad en Querétaro. Guía paso a paso.</t>
  </si>
  <si>
    <t xml:space="preserve">cómo quitar el salitre de las paredes; humedad en muros qué hacer; impermeabilizar muros interiores; anti salitre; pintura para salitre; humedad por capilaridad</t>
  </si>
  <si>
    <t xml:space="preserve">• ¿Qué causa el salitre en las paredes?
• ¿Cómo se quita el salitre y se evita que regrese?
• ¿Qué pintura o sellador sirve para muros con humedad?</t>
  </si>
  <si>
    <t xml:space="preserve">1. Qué es el salitre y por qué aparece (sales + humedad)
2. Primero encuentra el origen: fuga, capilaridad, lluvia o condensación
3. Paso a paso para eliminarlo: raspar, cepillar, limpiar y dejar secar
4. Productos según el caso: sellador/fijador, impermeabilizante para muros, pintura apropiada, aditivos para mortero
5. Prevención: impermeabilizar azotea, bajadas, juntas, jardineras y drenaje
6. Salitre vs moho: cómo distinguirlos
7. Preguntas frecuentes</t>
  </si>
  <si>
    <t xml:space="preserve">• Pasos ordenados con materiales y orden de aplicación (no pintar sobre muro húmedo)
• Advertencia: no mezclar productos de limpieza; usar guantes y protección respiratoria
• Si hay fuga o humedad estructural, derivar a especialista
• Venta cruzada: cepillo de alambre, espátula, sellador, impermeabilizante, pintura, guantes y mascarilla</t>
  </si>
  <si>
    <t xml:space="preserve">Cepillos de alambre, espátulas, selladores, impermeabilizantes, aditivos para concreto, pintura, guantes y protección respiratoria</t>
  </si>
  <si>
    <t xml:space="preserve">B08 · Brocha o rodillo: cuál usar con pintura vinílica o esmalte → ancla: «brocha o rodillo»</t>
  </si>
  <si>
    <t xml:space="preserve">B24 · Cómo calcular cuánta pintura o impermeabilizante necesitas → ancla: «cómo calcular pintura»
B30 · Silicón, sellador acrílico y poliuretano: diferencias → ancla: «diferencia entre silicón y sellador acrílico»
B41 · Cómo limpiar y guardar brochas y rodillos para que duren → ancla: «cómo limpiar brochas»
B43 · Silicón automotriz vs sellador de construcción → ancla: «silicón de alta temperatura»
B45 · EPP en la obra: guía del equipo de protección personal → ancla: «equipo de protección personal en obra»
B54 · Cemento blanco, gris, mortero y yeso: diferencias → ancla: «diferencia entre cemento y mortero»
B58 · Impermeabilizante acrílico vs manto: cuál conviene → ancla: «impermeabilizante acrílico vs manto»</t>
  </si>
  <si>
    <t xml:space="preserve">Descarga gratis la guía «Guía visual: salitre y humedad, diagnóstico y reparación» al registrarte en Club 57.</t>
  </si>
  <si>
    <t xml:space="preserve">instalar-tinaco-o-cisterna-queretaro</t>
  </si>
  <si>
    <t xml:space="preserve">Tinaco o cisterna en Querétaro: guía de instalación</t>
  </si>
  <si>
    <t xml:space="preserve">Qué considerar para instalar un tinaco o cisterna en Querétaro: capacidad, ubicación, bomba y accesorios para no quedarte sin agua en los cortes.</t>
  </si>
  <si>
    <t xml:space="preserve">cisterna o tinaco cuál conviene; capacidad de tinaco por persona; tinaco y bomba; altura del tinaco para buena presión; cortes de agua querétaro; tandeos de agua</t>
  </si>
  <si>
    <t xml:space="preserve">• ¿Qué capacidad de tinaco o cisterna necesito para mi familia?
• ¿A qué altura debo instalar el tinaco para tener buena presión?
• ¿Cada cuánto se debe lavar un tinaco o cisterna?</t>
  </si>
  <si>
    <t xml:space="preserve">1. Tinaco, cisterna o ambos: cómo decidir
2. Cómo calcular la capacidad según el número de personas
3. Dónde instalarlo: base, nivel, altura y acceso
4. Accesorios que no pueden faltar: flotador, válvulas, filtro, conexiones, bomba
5. Mantenimiento y limpieza periódica
6. Checklist de instalación
7. Preguntas frecuentes</t>
  </si>
  <si>
    <t xml:space="preserve">• Cálculo con ejemplo resuelto (consumo por persona/día)
• Explicar relación altura–presión en lenguaje simple (sin fórmulas pesadas)
• Enlazar a bomba de agua y tuberías para completar la compra
• Ticket alto: dejar claro el conjunto de componentes</t>
  </si>
  <si>
    <t xml:space="preserve">Tinacos, cisternas, flotadores, válvulas, bombas presurizadoras, conexiones y tubería</t>
  </si>
  <si>
    <t xml:space="preserve">B04 · Tubería PPR, PVC, CPVC o cobre: diferencias y cuál usar → ancla: «diferencia entre tubería ppr y pvc»</t>
  </si>
  <si>
    <t xml:space="preserve">B13 · Cinta teflón: para qué sirve y cómo se aplica bien → ancla: «cinta teflón»
B18 · Bomba de agua: periférica o centrífuga, cómo elegir → ancla: «bomba de agua para casa»
B23 · Por qué baja la presión del agua en la regadera → ancla: «poca presión de agua en la regadera»</t>
  </si>
  <si>
    <t xml:space="preserve">Descarga gratis la guía «Checklist de instalación de tinaco o cisterna» al registrarte en Club 57.</t>
  </si>
  <si>
    <t xml:space="preserve">brocha-o-rodillo-segun-pintura-vinilica-esmalte</t>
  </si>
  <si>
    <t xml:space="preserve">Brocha o rodillo: cuál usar con pintura vinílica o esmalte</t>
  </si>
  <si>
    <t xml:space="preserve">Elige la brocha o rodillo correcto según uses pintura vinílica o esmalte, el tipo de superficie y el acabado que buscas. Guía práctica.</t>
  </si>
  <si>
    <t xml:space="preserve">qué rodillo usar para pintar paredes; brocha para esmalte; diferencia pintura vinílica y esmalte; rodillo de felpa o espuma; cómo pintar una pared</t>
  </si>
  <si>
    <t xml:space="preserve">• ¿Qué rodillo se usa para pintura vinílica?
• ¿Qué brocha es mejor para esmalte?
• ¿Cuál es la diferencia entre pintura vinílica y esmalte?</t>
  </si>
  <si>
    <t xml:space="preserve">1. Vinílica vs esmalte: qué es cada una y dónde se usa
2. Rodillos: felpa corta, media y larga; espuma
3. Brochas: cerdas naturales vs sintéticas y anchos
4. Tabla: superficie + pintura → herramienta recomendada
5. Accesorios que completan el trabajo (charola, extensión, cinta de enmascarar)
6. Errores que arruinan el acabado
7. Preguntas frecuentes</t>
  </si>
  <si>
    <t xml:space="preserve">• Tabla de decisión de 3 columnas: superficie / pintura / herramienta
• Aclarar base agua vs base solvente y ventilación
• No nombrar marcas de pintura ajenas al catálogo (IPESA incluida)
• Enlazar a cálculo de pintura y limpieza de brochas</t>
  </si>
  <si>
    <t xml:space="preserve">Brochas, rodillos, charolas, extensiones, cinta de enmascarar, espátulas, pinturas (según catálogo)</t>
  </si>
  <si>
    <t xml:space="preserve">B01 · Marcas Truper: Pretul, Foset, Volteck y cuál elegir → ancla: «marcas truper»
B06 · Salitre y humedad en muros en Querétaro: cómo evitarlos → ancla: «salitre en paredes»</t>
  </si>
  <si>
    <t xml:space="preserve">B24 · Cómo calcular cuánta pintura o impermeabilizante necesitas → ancla: «cómo calcular pintura»
B30 · Silicón, sellador acrílico y poliuretano: diferencias → ancla: «diferencia entre silicón y sellador acrílico»
B31 · Espátulas, llanas y cuñas: guía para acabados perfectos → ancla: «tipos de llanas»
B41 · Cómo limpiar y guardar brochas y rodillos para que duren → ancla: «cómo limpiar brochas»
B43 · Silicón automotriz vs sellador de construcción → ancla: «silicón de alta temperatura»
B56 · Guía de lijas: qué grano usar en madera, metal y agua → ancla: «tipos de lijas»
B58 · Impermeabilizante acrílico vs manto: cuál conviene → ancla: «impermeabilizante acrílico vs manto»</t>
  </si>
  <si>
    <t xml:space="preserve">Descarga gratis la guía «Guía rápida: qué herramienta usar según tu pintura» al registrarte en Club 57.</t>
  </si>
  <si>
    <t xml:space="preserve">tipos-de-taquetes-tablaroca-concreto-ladrillo-hueco</t>
  </si>
  <si>
    <t xml:space="preserve">Tipos de taquetes: cuál usar en tablaroca y concreto</t>
  </si>
  <si>
    <t xml:space="preserve">Guía para elegir el taquete correcto en tablaroca, concreto sólido o ladrillo hueco y evitar que se caigan repisas, pantallas y cuadros.</t>
  </si>
  <si>
    <t xml:space="preserve">taquete para tablaroca; taquete para ladrillo hueco; taquete para concreto; taquete expansivo; taquete mariposa; qué taquete usar</t>
  </si>
  <si>
    <t xml:space="preserve">• ¿Qué taquete se usa en tablaroca?
• ¿Qué taquete sirve para tabique hueco?
• ¿Cómo sé cuánto peso aguanta un taquete?</t>
  </si>
  <si>
    <t xml:space="preserve">1. Por qué se caen las cosas: taquete equivocado, no el tornillo
2. Cómo identificar tu muro (golpe, perforación de prueba, grosor)
3. Taquetes por tipo de muro: concreto sólido, tabique macizo, ladrillo/tabique hueco, tablaroca
4. Plástico, mariposa, expansivo metálico y ancla: cuándo usar cada uno
5. Cómo instalarlos paso a paso (broca, limpieza, profundidad, tornillo)
6. Peso y seguridad: qué no colgar con taquete de plástico
7. Preguntas frecuentes</t>
  </si>
  <si>
    <t xml:space="preserve">• Cargas: indicar que la capacidad depende del muro y del fabricante; no inventar kilos
• Tabla muro / taquete / broca / uso típico
• Enlazar a brocas (mismo diámetro) y a soporte de TV
• Reduce reclamos de 'productos que no sirven' por mala instalación</t>
  </si>
  <si>
    <t xml:space="preserve">1.500–2.000</t>
  </si>
  <si>
    <t xml:space="preserve">Taquetes plásticos, de nylon, mariposa, expansivos y anclas; tornillos; brocas; detectores y niveles</t>
  </si>
  <si>
    <t xml:space="preserve">B02 · Herramientas básicas para el hogar: las 15 esenciales → ancla: «herramientas básicas para el hogar»
B03 · Cómo escoger la broca correcta según el material → ancla: «tipos de brocas»</t>
  </si>
  <si>
    <t xml:space="preserve">B20 · Cómo instalar un soporte de TV en la pared, nivelado → ancla: «cómo instalar soporte de tv»
B44 · Cómo organizar el tablero de herramientas del garaje → ancla: «organizar herramientas»
B47 · Herramientas para tablaroca: tu primer muro falso → ancla: «herramientas para tablaroca»</t>
  </si>
  <si>
    <t xml:space="preserve">Mencionar los tipos de muro frecuentes en casas del Bajío (block, tabique, concreto) sin generalizar.</t>
  </si>
  <si>
    <t xml:space="preserve">Descarga gratis la guía «Guía de taquetes por tipo de muro» al registrarte en Club 57.</t>
  </si>
  <si>
    <t xml:space="preserve">club-57-como-ganar-puntos-ferreteria-57</t>
  </si>
  <si>
    <t xml:space="preserve">Club 57 de Ferretería 57: cómo ganar puntos y beneficios</t>
  </si>
  <si>
    <t xml:space="preserve">Descubre Club 57, el programa de lealtad de Ferretería 57: cómo ganar puntos, referir amigos, descargar guías prácticas y acceder a promociones.</t>
  </si>
  <si>
    <t xml:space="preserve">programa de lealtad ferretería; puntos ferretería querétaro; guías descargables de ferretería; promociones truper</t>
  </si>
  <si>
    <t xml:space="preserve">• ¿Cómo me registro en Club 57?
• ¿Cómo se ganan puntos en Club 57?
• ¿Qué beneficios tienen los miembros de Club 57?</t>
  </si>
  <si>
    <t xml:space="preserve">1. Qué es Club 57
2. Cómo registrarte (en línea o en tienda)
3. Cómo ganar puntos y cuándo puedes canjearlos
4. Recomienda a un amigo: puntos para los dos
5. Guías prácticas en PDF: una por cada artículo del blog
6. Promociones solo para miembros (Liquidaciones del Mes, Promo Truper y Promociones de Temporada)
7. Preguntas frecuentes</t>
  </si>
  <si>
    <t xml:space="preserve">• Reglas vigentes al diseñar este brief: 1 punto por cada $50 MXN de subtotal sin envío, canje disponible a los 7 días, referidos 10 y 10 puntos tras la primera compra pagada; recompensas de mercancía promocional, recogida solo en tienda
• Los parámetros son configurables en admin: leer los valores vigentes antes de publicar y no hardcodear cifras
• No mencionar proveedores técnicos ni límites internos de la plataforma
• Explicar sin tecnicismos y con ejemplo ($145 = 2 puntos)</t>
  </si>
  <si>
    <t xml:space="preserve">900–1.300</t>
  </si>
  <si>
    <t xml:space="preserve">Club 57 (/cuenta), catálogo de canje, página de promociones de miembros</t>
  </si>
  <si>
    <t xml:space="preserve">B01 · Marcas Truper: Pretul, Foset, Volteck y cuál elegir → ancla: «marcas truper»
B02 · Herramientas básicas para el hogar: las 15 esenciales → ancla: «herramientas básicas para el hogar»
B04 · Tubería PPR, PVC, CPVC o cobre: diferencias y cuál usar → ancla: «diferencia entre tubería ppr y pvc»
B05 · Calibre de cable eléctrico para cada electrodoméstico → ancla: «calibre de cable para casa»</t>
  </si>
  <si>
    <t xml:space="preserve">B27 · Control de inventarios en ferretería: evita robo hormiga → ancla: «control de inventarios ferretería»
B40 · 5 ventajas de comprar en una ferretería de barrio → ancla: «ferretería en querétaro»</t>
  </si>
  <si>
    <t xml:space="preserve">Tienda física en Querétaro: registro con apoyo del vendedor.</t>
  </si>
  <si>
    <t xml:space="preserve">Descarga gratis la guía «Guía de bienvenida a Club 57» al registrarte en Club 57.</t>
  </si>
  <si>
    <t xml:space="preserve">como-destapar-tuberia-lavabo-sin-danar-pvc</t>
  </si>
  <si>
    <t xml:space="preserve">Cómo destapar el lavabo sin dañar la tubería de PVC</t>
  </si>
  <si>
    <t xml:space="preserve">Destapa tu lavabo paso a paso con chupón, sonda o limpieza del sifón, sin dañar el PVC y con las precauciones al usar destapacaños.</t>
  </si>
  <si>
    <t xml:space="preserve">destapar tubería del lavabo; destapacaños seguro para pvc; chupón para lavabo; limpiar sifón del lavabo; lavabo tapado qué hacer</t>
  </si>
  <si>
    <t xml:space="preserve">• ¿Cómo destapar un lavabo sin químicos?
• ¿El destapacaños daña la tubería de PVC?
• ¿Cómo se limpia el sifón del lavabo?</t>
  </si>
  <si>
    <t xml:space="preserve">1. Por qué se tapa el lavabo (cabello, grasa, jabón, sarro)
2. Método 1: chupón
3. Método 2: limpiar el sifón o trampa
4. Método 3: sonda o guía mecánica
5. Destapacaños químicos: cuándo sí, cuándo no y precauciones
6. Qué evitar (agua hirviendo directa sobre PVC, mezclar productos)
7. Cómo evitar que se vuelva a tapar
8. Preguntas frecuentes</t>
  </si>
  <si>
    <t xml:space="preserve">• Orden de menor a mayor agresividad: mecánico antes que químico
• Seguridad: guantes, lentes, ventilación y no mezclar productos; seguir la etiqueta
• Si hay mal olor persistente o varios desagües tapados, puede ser tubería general: llamar a plomero
• Venta cruzada: chupón, sonda, guantes, sifón nuevo, destapacaños</t>
  </si>
  <si>
    <t xml:space="preserve">1.200–1.600</t>
  </si>
  <si>
    <t xml:space="preserve">Chupones, sondas, sifones, destapacaños, guantes, lentes de seguridad</t>
  </si>
  <si>
    <t xml:space="preserve">B13 · Cinta teflón: para qué sirve y cómo se aplica bien → ancla: «cinta teflón»
B19 · 10 herramientas para iniciar tu negocio de plomería → ancla: «herramientas de plomero»
B29 · Cómo cambiar el sapo y herrajes del tanque del escusado → ancla: «cambiar sapo del tanque del escusado»
B32 · Cómo reparar una fuga en la llave mezcladora → ancla: «reparar llave mezcladora»</t>
  </si>
  <si>
    <t xml:space="preserve">Descarga gratis la guía «Guía de emergencia: lavabo tapado» al registrarte en Club 57.</t>
  </si>
  <si>
    <t xml:space="preserve">como-elegir-candado-anticizalla-exteriores-cortinas</t>
  </si>
  <si>
    <t xml:space="preserve">Candado anticizalla: cómo elegirlo para exterior</t>
  </si>
  <si>
    <t xml:space="preserve">Qué hace seguro a un candado anticizalla, cómo elegir tamaño, material y resistencia a la intemperie para cortinas, rejas y portones.</t>
  </si>
  <si>
    <t xml:space="preserve">candado para cortina de negocio; mejor candado para exterior; candado resistente a la intemperie; candado de alta seguridad; candado para reja</t>
  </si>
  <si>
    <t xml:space="preserve">• ¿Qué significa que un candado sea anticizalla?
• ¿Qué candado es mejor para una cortina metálica?
• ¿Los candados de latón o de acero resisten la lluvia?</t>
  </si>
  <si>
    <t xml:space="preserve">1. Qué es un candado anticizalla y por qué importa
2. Partes: cuerpo, grillete (arco), protección del arco y cerradura
3. Materiales y acabados para intemperie
4. Tamaño del cuerpo y diámetro del arco: cómo elegir
5. Cuál usar en cortina, reja, portón o bodega
6. Mantenimiento: lubricar y cuidar el cierre
7. Mini auditoría de seguridad: 8 puntos de tu local o casa
8. Preguntas frecuentes</t>
  </si>
  <si>
    <t xml:space="preserve">• Hablar de grados de seguridad solo si hay norma o clasificación del fabricante
• No prometer 'inviolable'; hablar de resistencia relativa y disuasión
• Enlazar a chapas y candados de moto/bici para completar el clúster
• Base para el PDF 'Auditoría de seguridad básica'</t>
  </si>
  <si>
    <t xml:space="preserve">Candados de alta seguridad, candados anticizalla, cadenas, lubricantes, pasadores</t>
  </si>
  <si>
    <t xml:space="preserve">B22 · Fuga de gas en casa: qué hacer y qué revisar → ancla: «fuga de gas qué hacer»
B26 · Cómo quitar el óxido de herramientas y metales → ancla: «cómo quitar el óxido»
B34 · Guantes de trabajo: nitrilo, carnaza, látex o anticorte → ancla: «guantes de trabajo»
B36 · Chapa de sobreponer, embutir o alta seguridad: cuál elegir → ancla: «tipos de chapas para puerta»
B45 · EPP en la obra: guía del equipo de protección personal → ancla: «equipo de protección personal en obra»
B49 · Candados para moto, bicicleta y rejas: cómo elegir → ancla: «candado para moto»</t>
  </si>
  <si>
    <t xml:space="preserve">Descarga gratis la guía «Auditoría de seguridad básica para casa o negocio» al registrarte en Club 57.</t>
  </si>
  <si>
    <t xml:space="preserve">cinta-teflon-que-es-para-que-sirve-como-aplicarla</t>
  </si>
  <si>
    <t xml:space="preserve">Cinta teflón: para qué sirve y cómo se aplica bien</t>
  </si>
  <si>
    <t xml:space="preserve">Aprende qué es la cinta teflón, en qué roscas se usa, cuántas vueltas dar y los errores que provocan fugas. Guía visual de plomería básica.</t>
  </si>
  <si>
    <t xml:space="preserve">cómo poner cinta teflón; para qué sirve la cinta de teflón; cuántas vueltas de teflón; cinta teflón para gas; cinta teflón fuga</t>
  </si>
  <si>
    <t xml:space="preserve">• ¿Para qué sirve la cinta teflón?
• ¿En qué dirección se enrolla la cinta teflón?
• ¿Se puede usar cinta teflón en conexiones de gas?</t>
  </si>
  <si>
    <t xml:space="preserve">1. Qué es la cinta teflón (PTFE) y qué hace
2. Dónde sí y dónde no se usa (roscas cónicas, conexiones con empaque)
3. Cómo aplicarla paso a paso: sentido, vueltas, tensión
4. Tipos: estándar, de mayor densidad y la especial para gas
5. Errores comunes que causan fugas
6. Alternativas: pasta selladora
7. Preguntas frecuentes</t>
  </si>
  <si>
    <t xml:space="preserve">• Sentido de enrollado: hacia el sentido en que se aprieta la conexión (explicar con lenguaje simple)
• Número de vueltas: dar rango solo con respaldo del fabricante
• Cinta para gas: indicar que es un producto específico y que las instalaciones de gas las revisa un técnico
• Micro-habilidad con alto valor para principiantes</t>
  </si>
  <si>
    <t xml:space="preserve">Cinta teflón (estándar y para gas), pasta selladora, llaves, conexiones</t>
  </si>
  <si>
    <t xml:space="preserve">B04 · Tubería PPR, PVC, CPVC o cobre: diferencias y cuál usar → ancla: «diferencia entre tubería ppr y pvc»
B07 · Tinaco o cisterna en Querétaro: guía de instalación → ancla: «instalar tinaco»
B11 · Cómo destapar el lavabo sin dañar la tubería de PVC → ancla: «cómo destapar un lavabo»</t>
  </si>
  <si>
    <t xml:space="preserve">B17 · Cómo purgar un boiler para quitarle el sarro paso a paso → ancla: «purgar boiler»
B19 · 10 herramientas para iniciar tu negocio de plomería → ancla: «herramientas de plomero»
B22 · Fuga de gas en casa: qué hacer y qué revisar → ancla: «fuga de gas qué hacer»
B23 · Por qué baja la presión del agua en la regadera → ancla: «poca presión de agua en la regadera»
B29 · Cómo cambiar el sapo y herrajes del tanque del escusado → ancla: «cambiar sapo del tanque del escusado»
B32 · Cómo reparar una fuga en la llave mezcladora → ancla: «reparar llave mezcladora»
B39 · Tubos de PVC: qué significan cédula 40, 80 y sanitario → ancla: «cédula 40 y 80 pvc»</t>
  </si>
  <si>
    <t xml:space="preserve">Descarga gratis la guía «Plomería básica visual: guía de cinta teflón y sellado de roscas» al registrarte en Club 57.</t>
  </si>
  <si>
    <t xml:space="preserve">mantenimiento-calentador-solar-antes-del-frio</t>
  </si>
  <si>
    <t xml:space="preserve">Mantenimiento del calentador solar antes del frío</t>
  </si>
  <si>
    <t xml:space="preserve">Revisa y da mantenimiento a tu calentador solar antes de la temporada de frío: limpieza, fugas, sarro, válvulas y accesorios que conviene cambiar.</t>
  </si>
  <si>
    <t xml:space="preserve">limpiar calentador solar; calentador solar no calienta; ánodo de sacrificio; válvula de alivio calentador solar; revisión calentador solar invierno</t>
  </si>
  <si>
    <t xml:space="preserve">• ¿Cada cuánto se da mantenimiento a un calentador solar?
• ¿Por qué mi calentador solar no calienta bien?
• ¿Qué es el ánodo de sacrificio y cuándo se cambia?</t>
  </si>
  <si>
    <t xml:space="preserve">1. Por qué revisarlo antes del frío
2. Revisión rápida: tubos o colectores, soportes y vidrios
3. Tuberías, aislamiento y fugas
4. Sarro: señales y cómo prevenirlo
5. Válvulas, llaves de paso y accesorios que se desgastan
6. Ánodo de sacrificio y cuándo cambiarlo
7. Seguridad al trabajar en azotea
8. Preguntas frecuentes</t>
  </si>
  <si>
    <t xml:space="preserve">• Trabajo en azotea: advertencias de caídas; no subir con lluvia ni sin apoyo
• Seguir siempre el manual del fabricante del equipo
• Accesorios reales de catálogo: llaves de paso, mangueras especiales, tubería PPR, aislante
• Cuándo llamar a un técnico certificado</t>
  </si>
  <si>
    <t xml:space="preserve">Llaves de paso, mangueras especiales, tubería PPR, aislante para tubería, ánodos</t>
  </si>
  <si>
    <t xml:space="preserve">B17 · Cómo purgar un boiler para quitarle el sarro paso a paso → ancla: «purgar boiler»
B22 · Fuga de gas en casa: qué hacer y qué revisar → ancla: «fuga de gas qué hacer»
B23 · Por qué baja la presión del agua en la regadera → ancla: «poca presión de agua en la regadera»</t>
  </si>
  <si>
    <t xml:space="preserve">Descarga gratis la guía «Calendario anual de mantenimiento del calentador solar» al registrarte en Club 57.</t>
  </si>
  <si>
    <t xml:space="preserve">peligro-diablitos-y-falsos-contactos-instalacion-electrica</t>
  </si>
  <si>
    <t xml:space="preserve">Diablitos y falsos contactos: riesgos de tu instalación</t>
  </si>
  <si>
    <t xml:space="preserve">Por qué las derivaciones improvisadas, los diablitos y los falsos contactos son un riesgo en casa, y cómo saber si debes actualizar tu instalación.</t>
  </si>
  <si>
    <t xml:space="preserve">falso contacto qué hacer; sobrecarga de contactos; multicontacto peligro; cuándo cambiar la instalación eléctrica; señales de instalación eléctrica deficiente</t>
  </si>
  <si>
    <t xml:space="preserve">• ¿Por qué es peligroso conectar varios aparatos en un solo contacto?
• ¿Cómo sé si mi instalación eléctrica necesita actualizarse?
• ¿Qué es un falso contacto y cómo se corrige?</t>
  </si>
  <si>
    <t xml:space="preserve">1. Qué es un diablito y qué es un falso contacto (definiciones claras)
2. Qué riesgos generan: sobrecalentamiento, cortos, incendios
3. Señales de alerta en tu casa o negocio
4. Qué revisar: contactos, clavijas, extensiones, centro de carga, cableado
5. Qué sí hacer: orden de prioridades para actualizar
6. Productos seguros que sí puedes usar
7. Cuándo llamar a un electricista
8. Preguntas frecuentes</t>
  </si>
  <si>
    <t xml:space="preserve">• «Diablito»: el artículo se centra en riesgos y soluciones seguras (derivaciones improvisadas, multicontactos sobrecargados), sin instrucciones para realizar conexiones clandestinas
• Tono preventivo, sin alarmismo
• Enlazar al artículo de calibres y de pastilla termomagnética
• No citar números de norma; recomendar un electricista</t>
  </si>
  <si>
    <t xml:space="preserve">Centros de carga, interruptores termomagnéticos, multicontactos con protección, extensiones, cable (ver catálogo)</t>
  </si>
  <si>
    <t xml:space="preserve">B05 · Calibre de cable eléctrico para cada electrodoméstico → ancla: «calibre de cable para casa»</t>
  </si>
  <si>
    <t xml:space="preserve">B16 · Conectores eléctricos: capuchones, regletas y cinta → ancla: «conectores eléctricos»
B21 · Focos LED vs ahorradores: lúmenes, watts y color → ancla: «focos led vs ahorradores»
B38 · Cómo cambiar una pastilla termomagnética con seguridad → ancla: «pastilla termomagnética»
B50 · Cómo usar un multímetro: contactos, pilas y fusibles → ancla: «cómo usar un multímetro»</t>
  </si>
  <si>
    <t xml:space="preserve">Descarga gratis la guía «Señales de alerta en tu instalación eléctrica» al registrarte en Club 57.</t>
  </si>
  <si>
    <t xml:space="preserve">conectores-electricos-capuchones-cinta-aislar-regletas</t>
  </si>
  <si>
    <t xml:space="preserve">Conectores eléctricos: capuchones, regletas y cinta</t>
  </si>
  <si>
    <t xml:space="preserve">Cuándo usar capuchones, regletas (clemas) o cinta de aislar para unir cables de forma segura en casa o taller. Ventajas y errores comunes.</t>
  </si>
  <si>
    <t xml:space="preserve">cómo unir cables eléctricos; capuchones eléctricos; regletas clemas; empalmar cables; cinta de aislar o capuchón</t>
  </si>
  <si>
    <t xml:space="preserve">• ¿Cómo se empalman dos cables de forma segura?
• ¿Es suficiente la cinta de aislar para unir cables?
• ¿Qué es una regleta o clema?</t>
  </si>
  <si>
    <t xml:space="preserve">1. Por qué importa el empalme (calor, falsos contactos)
2. Capuchones o conectores de rosca
3. Regletas (clemas) y conectores de palanca
4. Cinta de aislar: para qué sí y para qué no
5. Tabla: calibre, aplicación y conector recomendado
6. Dónde deben quedar los empalmes (cajas de registro)
7. Preguntas frecuentes</t>
  </si>
  <si>
    <t xml:space="preserve">• Los empalmes se hacen con la energía desconectada; recomendar probar con probador de voltaje
• Empalmes dentro de cajas de registro, nunca expuestos
• Capacidad del conector según calibre y corriente
• Alternativas más seguras que la cinta sola</t>
  </si>
  <si>
    <t xml:space="preserve">Capuchones, regletas, conectores de palanca, cinta de aislar, probadores de voltaje, pinzas</t>
  </si>
  <si>
    <t xml:space="preserve">B05 · Calibre de cable eléctrico para cada electrodoméstico → ancla: «calibre de cable para casa»
B15 · Diablitos y falsos contactos: riesgos de tu instalación → ancla: «diablito eléctrico peligro»</t>
  </si>
  <si>
    <t xml:space="preserve">B25 · Tipos de pinzas: de presión, electricista, punta y corte → ancla: «tipos de pinzas»
B38 · Cómo cambiar una pastilla termomagnética con seguridad → ancla: «pastilla termomagnética»
B50 · Cómo usar un multímetro: contactos, pilas y fusibles → ancla: «cómo usar un multímetro»</t>
  </si>
  <si>
    <t xml:space="preserve">Descarga gratis la guía «Guía rápida de empalmes y conectores» al registrarte en Club 57.</t>
  </si>
  <si>
    <t xml:space="preserve">como-purgar-boiler-calentador-de-agua-sarro</t>
  </si>
  <si>
    <t xml:space="preserve">Cómo purgar un boiler para quitarle el sarro paso a paso</t>
  </si>
  <si>
    <t xml:space="preserve">Aprende a purgar tu boiler para eliminar sedimentos y sarro: pasos, frecuencia, seguridad y señales de que necesita revisión del técnico.</t>
  </si>
  <si>
    <t xml:space="preserve">cómo limpiar un boiler; sarro en el boiler; drenar calentador de agua; cada cuánto purgar el boiler; mantenimiento de boiler de depósito</t>
  </si>
  <si>
    <t xml:space="preserve">• ¿Cada cuánto se debe purgar un boiler?
• ¿Cómo se vacía un calentador de agua?
• ¿Por qué hace ruidos mi boiler?</t>
  </si>
  <si>
    <t xml:space="preserve">1. Por qué se acumula sarro en el boiler
2. Antes de empezar: seguridad con gas, agua caliente y presión
3. Materiales y herramientas
4. Paso a paso para purgar un boiler de depósito
5. Qué revisar después: válvulas, fugas y ánodo
6. Cada cuánto repetirlo y señales de falla
7. Preguntas frecuentes</t>
  </si>
  <si>
    <t xml:space="preserve">• Cubrir boiler de depósito; los de paso se limpian distinto (aclarar)
• Apagar gas o energía, cerrar la entrada de agua, dejar enfriar y aliviar presión (seguir manual del fabricante)
• Frecuencia anual aproximada por agua dura
• Si hay olor a gas, aplicar protocolo del artículo de fugas de gas</t>
  </si>
  <si>
    <t xml:space="preserve">Mangueras, llaves de paso, válvulas de drenado, ánodos, cinta teflón, guantes</t>
  </si>
  <si>
    <t xml:space="preserve">B04 · Tubería PPR, PVC, CPVC o cobre: diferencias y cuál usar → ancla: «diferencia entre tubería ppr y pvc»
B13 · Cinta teflón: para qué sirve y cómo se aplica bien → ancla: «cinta teflón»
B14 · Mantenimiento del calentador solar antes del frío → ancla: «mantenimiento calentador solar»</t>
  </si>
  <si>
    <t xml:space="preserve">B22 · Fuga de gas en casa: qué hacer y qué revisar → ancla: «fuga de gas qué hacer»
B23 · Por qué baja la presión del agua en la regadera → ancla: «poca presión de agua en la regadera»</t>
  </si>
  <si>
    <t xml:space="preserve">Descarga gratis la guía «Calendario y checklist de mantenimiento del boiler» al registrarte en Club 57.</t>
  </si>
  <si>
    <t xml:space="preserve">como-elegir-bomba-de-agua-periferica-centrifuga</t>
  </si>
  <si>
    <t xml:space="preserve">Bomba de agua: periférica o centrífuga, cómo elegir</t>
  </si>
  <si>
    <t xml:space="preserve">Elige entre bomba periférica, centrífuga o presurizadora según los pisos, la cisterna y la presión que necesitas en casa.</t>
  </si>
  <si>
    <t xml:space="preserve">bomba periférica o centrífuga; qué bomba necesito para mi casa; bomba presurizadora; cuántos hp necesita mi bomba; bomba para cisterna</t>
  </si>
  <si>
    <t xml:space="preserve">• ¿Qué bomba de agua necesito para una casa de dos pisos?
• ¿Cuál es la diferencia entre bomba periférica y centrífuga?
• ¿Cuántos HP debe tener mi bomba?</t>
  </si>
  <si>
    <t xml:space="preserve">1. Para qué sirve una bomba y cuándo la necesitas
2. Periférica, centrífuga, presurizadora y sumergible
3. Cómo elegir: pisos, altura, caudal, distancia y número de salidas
4. Instalación: succión, válvula check, protección y cebado
5. Tabla guía: tipo de casa → bomba orientativa
6. Errores que queman la bomba
7. Preguntas frecuentes</t>
  </si>
  <si>
    <t xml:space="preserve">• Tabla orientativa con caveat: validar potencia con ficha técnica
• Explicar altura dinámica total en lenguaje simple
• Enlazar a tinaco/cisterna y tuberías
• Ticket alto: asesoría en tienda recomendada</t>
  </si>
  <si>
    <t xml:space="preserve">Bombas periféricas, centrífugas, presurizadoras, válvulas check, flotadores, conexiones</t>
  </si>
  <si>
    <t xml:space="preserve">B04 · Tubería PPR, PVC, CPVC o cobre: diferencias y cuál usar → ancla: «diferencia entre tubería ppr y pvc»
B07 · Tinaco o cisterna en Querétaro: guía de instalación → ancla: «instalar tinaco»</t>
  </si>
  <si>
    <t xml:space="preserve">B23 · Por qué baja la presión del agua en la regadera → ancla: «poca presión de agua en la regadera»
B52 · Mangueras industriales de aire y agua vs de jardín → ancla: «manguera industrial»</t>
  </si>
  <si>
    <t xml:space="preserve">Casas de 1 y 2 pisos con cisterna y tinaco: escenario común en Querétaro (sin cifras).</t>
  </si>
  <si>
    <t xml:space="preserve">Descarga gratis la guía «Guía de selección de bomba de agua» al registrarte en Club 57.</t>
  </si>
  <si>
    <t xml:space="preserve">herramientas-esenciales-para-iniciar-negocio-de-plomeria</t>
  </si>
  <si>
    <t xml:space="preserve">10 herramientas para iniciar tu negocio de plomería</t>
  </si>
  <si>
    <t xml:space="preserve">Lista de las 10 herramientas esenciales para comenzar como plomero independiente: qué comprar primero, qué buscar y cómo armar tu caja.</t>
  </si>
  <si>
    <t xml:space="preserve">herramientas para plomería; caja de herramientas de plomero; cómo iniciar un negocio de plomería; herramientas básicas de plomería</t>
  </si>
  <si>
    <t xml:space="preserve">• ¿Qué herramientas necesita un plomero para empezar?
• ¿Cuánto cuesta equipar a un plomero principiante?
• ¿Qué herramientas conviene comprar de mayor calidad primero?</t>
  </si>
  <si>
    <t xml:space="preserve">1. Qué trabajos vas a ofrecer primero
2. Las 10 herramientas, una por una
3. Qué comprar de calidad profesional y qué de gama económica
4. Consumibles que siempre debes traer
5. Cómo organizar tu caja y tu camioneta
6. Siguientes herramientas cuando crezca el negocio
7. Preguntas frecuentes</t>
  </si>
  <si>
    <t xml:space="preserve">• Estructura de lista numerada 1–10 con: para qué sirve, qué buscar y nivel de inversión
• Evitar precios concretos; remitir a catálogo
• Enlazar con tuberías, teflón y destapado
• Atrae a oficios locales: incluir llamada a Club 57</t>
  </si>
  <si>
    <t xml:space="preserve">Llaves stillson y ajustable, cortatubos, termofusora, soplete, segueta, flexómetro, nivel, pinzas de presión, sondas</t>
  </si>
  <si>
    <t xml:space="preserve">B04 · Tubería PPR, PVC, CPVC o cobre: diferencias y cuál usar → ancla: «diferencia entre tubería ppr y pvc»
B11 · Cómo destapar el lavabo sin dañar la tubería de PVC → ancla: «cómo destapar un lavabo»
B13 · Cinta teflón: para qué sirve y cómo se aplica bien → ancla: «cinta teflón»</t>
  </si>
  <si>
    <t xml:space="preserve">B25 · Tipos de pinzas: de presión, electricista, punta y corte → ancla: «tipos de pinzas»
B27 · Control de inventarios en ferretería: evita robo hormiga → ancla: «control de inventarios ferretería»
B31 · Espátulas, llanas y cuñas: guía para acabados perfectos → ancla: «tipos de llanas»
B33 · Merchandising para ferreterías: exhibe y vende más → ancla: «merchandising para ferreterías»
B37 · Remachadora manual y medida de remaches: cómo elegir → ancla: «remachadora manual»
B39 · Tubos de PVC: qué significan cédula 40, 80 y sanitario → ancla: «cédula 40 y 80 pvc»
B52 · Mangueras industriales de aire y agua vs de jardín → ancla: «manguera industrial»</t>
  </si>
  <si>
    <t xml:space="preserve">Plomeros locales y contratistas de Querétaro como público objetivo.</t>
  </si>
  <si>
    <t xml:space="preserve">Descarga gratis la guía «Checklist inicial: caja de herramientas del plomero» al registrarte en Club 57.</t>
  </si>
  <si>
    <t xml:space="preserve">como-instalar-soporte-de-tv-en-la-pared</t>
  </si>
  <si>
    <t xml:space="preserve">Cómo instalar un soporte de TV en la pared, nivelado</t>
  </si>
  <si>
    <t xml:space="preserve">Instala el soporte de tu televisión en la pared paso a paso: herramientas, taquetes, altura ideal y cómo nivelarlo para que quede seguro.</t>
  </si>
  <si>
    <t xml:space="preserve">colgar tv en la pared; soporte de pared para tv; taquetes para tv; altura ideal de tv; instalar soporte en tablaroca</t>
  </si>
  <si>
    <t xml:space="preserve">• ¿A qué altura se pone una TV en la pared?
• ¿Qué taquetes se usan para colgar una TV?
• ¿Se puede instalar un soporte de TV en tablaroca?</t>
  </si>
  <si>
    <t xml:space="preserve">1. Antes de empezar: peso, tamaño y compatibilidad (VESA)
2. Herramientas y materiales necesarios
3. Cómo elegir la altura y ubicación
4. Instalación en concreto o tabique
5. Instalación en tablaroca: encontrar el montante
6. Nivelar y asegurar la TV
7. Errores que provocan caídas
8. Preguntas frecuentes</t>
  </si>
  <si>
    <t xml:space="preserve">• Compatibilidad VESA y carga máxima: seguir el manual del soporte
• Altura de visión: dar regla práctica (centro de pantalla a la altura de los ojos sentados)
• Tablaroca: usar montantes o anclaje apropiado; no sobreestimar la carga
• Gancho estacional: antes de la temporada de ofertas de noviembre (sin citar fechas)</t>
  </si>
  <si>
    <t xml:space="preserve">Taladros, brocas para concreto, taquetes expansivos, tornillos, niveles de gota, flexómetros, detectores de montantes</t>
  </si>
  <si>
    <t xml:space="preserve">B02 · Herramientas básicas para el hogar: las 15 esenciales → ancla: «herramientas básicas para el hogar»
B03 · Cómo escoger la broca correcta según el material → ancla: «tipos de brocas»
B09 · Tipos de taquetes: cuál usar en tablaroca y concreto → ancla: «tipos de taquetes»</t>
  </si>
  <si>
    <t xml:space="preserve">B47 · Herramientas para tablaroca: tu primer muro falso → ancla: «herramientas para tablaroca»
B55 · Cómo leer un flexómetro: pulgadas, fracciones y mm → ancla: «cómo leer un flexómetro»</t>
  </si>
  <si>
    <t xml:space="preserve">Descarga gratis la guía «Checklist para instalar tu TV en la pared» al registrarte en Club 57.</t>
  </si>
  <si>
    <t xml:space="preserve">focos-led-vs-ahorradores-lumenes-watts-temperatura-color</t>
  </si>
  <si>
    <t xml:space="preserve">Focos LED vs ahorradores: lúmenes, watts y color</t>
  </si>
  <si>
    <t xml:space="preserve">Aprende a elegir focos LED: diferencia con los ahorradores, qué son los lúmenes, cuántos watts consume y qué temperatura de color usar en cada cuarto.</t>
  </si>
  <si>
    <t xml:space="preserve">qué son los lúmenes; temperatura de color focos; foco led cálido o frío; cuántos lúmenes necesito; ahorro de luz con focos led</t>
  </si>
  <si>
    <t xml:space="preserve">• ¿Qué es mejor, foco LED o ahorrador?
• ¿Cuántos lúmenes necesito en una recámara o cocina?
• ¿Qué significa luz cálida y luz fría?</t>
  </si>
  <si>
    <t xml:space="preserve">1. Los tres focos: incandescente, ahorrador y LED
2. Watts = consumo; lúmenes = brillo
3. Temperatura de color (K): cálida, neutra y fría
4. Tabla: qué foco poner en cada espacio
5. Cuánto puedes ahorrar (cálculo ejemplo)
6. Cómo leer el empaque de un foco
7. Preguntas frecuentes</t>
  </si>
  <si>
    <t xml:space="preserve">• Calculadora simple: ahorro anual = (W antes − W LED) × horas × tarifa, con tarifa de ejemplo declarada como supuesto
• Equivalencias lúmenes↔watts incandescentes solo como referencia
• Mencionar disposición de ahorradores (contienen mercurio)
• Gancho de temporada: iluminación navideña LED</t>
  </si>
  <si>
    <t xml:space="preserve">Focos LED (cálidos, neutros, fríos), tiras LED, luminarias, portalámparas (ver catálogo Volteck/Truper)</t>
  </si>
  <si>
    <t xml:space="preserve">B38 · Cómo cambiar una pastilla termomagnética con seguridad → ancla: «pastilla termomagnética»</t>
  </si>
  <si>
    <t xml:space="preserve">Descarga gratis la guía «Guía de iluminación: qué foco poner en cada espacio» al registrarte en Club 57.</t>
  </si>
  <si>
    <t xml:space="preserve">que-hacer-en-caso-de-fuga-de-gas-en-casa</t>
  </si>
  <si>
    <t xml:space="preserve">Fuga de gas en casa: qué hacer y qué revisar</t>
  </si>
  <si>
    <t xml:space="preserve">Qué hacer ante una fuga de gas en casa, cómo revisar mangueras y conexiones y qué productos certificados conviene usar. Guía de seguridad.</t>
  </si>
  <si>
    <t xml:space="preserve">cómo detectar una fuga de gas; revisar manguera de gas; regulador de gas; detector de gas; prueba de burbujas conexiones de gas</t>
  </si>
  <si>
    <t xml:space="preserve">• ¿Qué se debe hacer si huelo gas en casa?
• ¿Cómo se revisa si una conexión de gas tiene fuga?
• ¿Cada cuánto se cambia la manguera de gas?</t>
  </si>
  <si>
    <t xml:space="preserve">1. Señales de una fuga de gas
2. Qué hacer de inmediato (y qué NO hacer)
3. Cómo revisar conexiones con agua jabonosa
4. Mangueras, reguladores y conexiones: qué revisar y cuándo reemplazar
5. Productos: cinta para gas, detectores de gas
6. Cuándo llamar a un técnico especializado
7. Preguntas frecuentes</t>
  </si>
  <si>
    <t xml:space="preserve">• Contenido de seguridad crítica: priorizar protocolo (no encender luces ni flama, ventilar, cerrar llave de paso, salir y llamar a emergencias 911 o a tu proveedor)
• Nunca recomendar usar flama para buscar fugas
• Normas de manguera/regulador y vigencia
• Explicar diferencia entre gas LP y gas natural sin afirmar cuál usa cada hogar</t>
  </si>
  <si>
    <t xml:space="preserve">Mangueras certificadas, reguladores, abrazaderas, cinta para gas, detectores de gas</t>
  </si>
  <si>
    <t xml:space="preserve">B12 · Candado anticizalla: cómo elegirlo para exterior → ancla: «candado anticizalla»
B13 · Cinta teflón: para qué sirve y cómo se aplica bien → ancla: «cinta teflón»
B14 · Mantenimiento del calentador solar antes del frío → ancla: «mantenimiento calentador solar»
B17 · Cómo purgar un boiler para quitarle el sarro paso a paso → ancla: «purgar boiler»</t>
  </si>
  <si>
    <t xml:space="preserve">Mencionar números de emergencia oficiales de Querétaro solo si se verifican.</t>
  </si>
  <si>
    <t xml:space="preserve">Descarga gratis la guía «Plan de acción: fuga de gas en casa» al registrarte en Club 57.</t>
  </si>
  <si>
    <t xml:space="preserve">por-que-baja-la-presion-del-agua-en-la-regadera</t>
  </si>
  <si>
    <t xml:space="preserve">Por qué baja la presión del agua en la regadera</t>
  </si>
  <si>
    <t xml:space="preserve">Causas de la poca presión de agua en la regadera y cómo solucionarla: limpieza de regadera, llaves de paso, filtros, tinaco y presurizadores.</t>
  </si>
  <si>
    <t xml:space="preserve">por qué sale poca agua en la regadera; limpiar regadera con sarro; presurizador de agua; presión de agua baja en casa; cebolleta tapada</t>
  </si>
  <si>
    <t xml:space="preserve">• ¿Por qué mi regadera sale con poca presión?
• ¿Cómo se limpia una regadera con sarro?
• ¿Cuándo conviene instalar un presurizador?</t>
  </si>
  <si>
    <t xml:space="preserve">1. Primero descarta: ¿es solo la regadera o toda la casa?
2. Causa 1: cebolleta o regadera tapada por sarro
3. Causa 2: llaves de paso, filtros y flexibles
4. Causa 3: tinaco bajo o tubería obstruida
5. Cuándo conviene un presurizador
6. Diagnóstico en 5 pasos
7. Preguntas frecuentes</t>
  </si>
  <si>
    <t xml:space="preserve">• Orden de diagnóstico de menor a mayor costo
• Limpieza de regadera con vinagre: precauciones por acabado (cromo)
• Enlazar a bomba y tinaco
• Búsqueda frecuente: respuesta directa en los primeros párrafos</t>
  </si>
  <si>
    <t xml:space="preserve">Regaderas, cebolletas, flexibles, llaves de paso, filtros, presurizadores, cinta teflón</t>
  </si>
  <si>
    <t xml:space="preserve">B04 · Tubería PPR, PVC, CPVC o cobre: diferencias y cuál usar → ancla: «diferencia entre tubería ppr y pvc»
B07 · Tinaco o cisterna en Querétaro: guía de instalación → ancla: «instalar tinaco»
B13 · Cinta teflón: para qué sirve y cómo se aplica bien → ancla: «cinta teflón»
B14 · Mantenimiento del calentador solar antes del frío → ancla: «mantenimiento calentador solar»
B17 · Cómo purgar un boiler para quitarle el sarro paso a paso → ancla: «purgar boiler»
B18 · Bomba de agua: periférica o centrífuga, cómo elegir → ancla: «bomba de agua para casa»</t>
  </si>
  <si>
    <t xml:space="preserve">Descarga gratis la guía «Diagnóstico: poca presión de agua en casa» al registrarte en Club 57.</t>
  </si>
  <si>
    <t xml:space="preserve">como-calcular-cuanta-pintura-o-impermeabilizante-necesitas</t>
  </si>
  <si>
    <t xml:space="preserve">Cómo calcular cuánta pintura o impermeabilizante necesitas</t>
  </si>
  <si>
    <t xml:space="preserve">Calcula la cantidad de pintura o impermeabilizante que necesitas con una fórmula sencilla: metros cuadrados, rendimiento, manos y merma.</t>
  </si>
  <si>
    <t xml:space="preserve">cuánta pintura necesito para una pared; calcular litros de impermeabilizante; rendimiento de pintura por metro cuadrado; calcular metros cuadrados de pared</t>
  </si>
  <si>
    <t xml:space="preserve">• ¿Cómo calculo cuánta pintura necesito para un cuarto?
• ¿Cuántos litros de impermeabilizante necesito para una azotea?
• ¿Qué es el rendimiento de una pintura?</t>
  </si>
  <si>
    <t xml:space="preserve">1. Paso 1: mide y calcula la superficie
2. Paso 2: resta puertas y ventanas
3. Paso 3: rendimiento del producto y número de manos
4. Paso 4: agrega merma y redondea al envase
5. Ejemplo resuelto: recámara de 3 × 4 m
6. Ejemplo resuelto: azotea con impermeabilizante
7. Errores que te hacen comprar de más o de menos
8. Preguntas frecuentes</t>
  </si>
  <si>
    <t xml:space="preserve">• Mostrar la fórmula explícita con ejemplos numéricos revisados por cálculo
• Rendimiento: tomar siempre el de la etiqueta del producto
• Margen de merma típico sugerido; indicar que es una recomendación
• Candidato a calculadora interactiva en el sitio (activo para backlinks)</t>
  </si>
  <si>
    <t xml:space="preserve">Pinturas, impermeabilizantes, rodillos, brochas, cubetas (según catálogo)</t>
  </si>
  <si>
    <t xml:space="preserve">B06 · Salitre y humedad en muros en Querétaro: cómo evitarlos → ancla: «salitre en paredes»
B08 · Brocha o rodillo: cuál usar con pintura vinílica o esmalte → ancla: «brocha o rodillo»</t>
  </si>
  <si>
    <t xml:space="preserve">B30 · Silicón, sellador acrílico y poliuretano: diferencias → ancla: «diferencia entre silicón y sellador acrílico»
B41 · Cómo limpiar y guardar brochas y rodillos para que duren → ancla: «cómo limpiar brochas»
B58 · Impermeabilizante acrílico vs manto: cuál conviene → ancla: «impermeabilizante acrílico vs manto»</t>
  </si>
  <si>
    <t xml:space="preserve">Descarga gratis la guía «Hoja de cálculo imprimible: pintura e impermeabilizante» al registrarte en Club 57.</t>
  </si>
  <si>
    <t xml:space="preserve">para-que-sirve-cada-tipo-de-pinza</t>
  </si>
  <si>
    <t xml:space="preserve">Tipos de pinzas: de presión, electricista, punta y corte</t>
  </si>
  <si>
    <t xml:space="preserve">Conoce para qué sirve cada tipo de pinza y evita barrer tornillos o cortar mal: pinzas de presión, de electricista, de punta y de corte.</t>
  </si>
  <si>
    <t xml:space="preserve">para qué sirven las pinzas; pinzas de presión; pinzas de electricista; pinzas de punta; pinzas de corte; diferencia entre pinzas</t>
  </si>
  <si>
    <t xml:space="preserve">• ¿Para qué sirve una pinza de presión?
• ¿Cuál es la diferencia entre pinza de electricista y pinza de corte?
• ¿Se puede usar una pinza para aflojar tuercas?</t>
  </si>
  <si>
    <t xml:space="preserve">1. Las pinzas que sí necesitas y por qué no hay una universal
2. Pinza de electricista o universal
3. Pinza de presión (mordaza)
4. Pinza de punta (larga o de bec)
5. Pinza de corte (diagonal y frontal)
6. Pinzas de extensión
7. Tabla: tarea → pinza correcta
8. Cuidado y errores comunes
9. Preguntas frecuentes</t>
  </si>
  <si>
    <t xml:space="preserve">• Tabla de consulta rápida para capacitación de empleados nuevos
• Pinzas aisladas: indicar certificación solo con base en ficha
• No usar pinzas aisladas con corriente sin criterio profesional: mensaje de seguridad
• Enlazar al kit básico y a plomería/electricidad</t>
  </si>
  <si>
    <t xml:space="preserve">Pinzas de electricista, de presión, de punta, de corte y de extensión</t>
  </si>
  <si>
    <t xml:space="preserve">B02 · Herramientas básicas para el hogar: las 15 esenciales → ancla: «herramientas básicas para el hogar»
B16 · Conectores eléctricos: capuchones, regletas y cinta → ancla: «conectores eléctricos»
B19 · 10 herramientas para iniciar tu negocio de plomería → ancla: «herramientas de plomero»</t>
  </si>
  <si>
    <t xml:space="preserve">B46 · Llaves y dados: medida milimétrica vs pulgadas → ancla: «llaves milimétricas vs estándar»</t>
  </si>
  <si>
    <t xml:space="preserve">Descarga gratis la guía «Guía rápida: qué pinza usar para cada tarea» al registrarte en Club 57.</t>
  </si>
  <si>
    <t xml:space="preserve">como-quitar-el-oxido-de-herramientas-candados-y-metales</t>
  </si>
  <si>
    <t xml:space="preserve">Cómo quitar el óxido de herramientas y metales</t>
  </si>
  <si>
    <t xml:space="preserve">Métodos para quitar el óxido de herramientas, candados y metales: cepillo, lija, vinagre, convertidor de óxido y cómo evitar que regrese.</t>
  </si>
  <si>
    <t xml:space="preserve">quitar óxido de herramientas; convertidor de óxido; aflojatodo; limpiar herramientas oxidadas; proteger metal de la corrosión</t>
  </si>
  <si>
    <t xml:space="preserve">• ¿Cómo se quita el óxido de una herramienta?
• ¿Qué es un convertidor de óxido y cómo se usa?
• ¿Cómo evito que mis herramientas se oxiden?</t>
  </si>
  <si>
    <t xml:space="preserve">1. Qué es el óxido y por qué aparece
2. Elige el método según el grado de óxido
3. Método mecánico: cepillo de alambre, lija, cepillo de copa
4. Método químico: vinagre, desoxidante y convertidor de óxido
5. Aflojatodo para tornillos y candados oxidados
6. Protección final: aceite, grasa, pintura anticorrosiva
7. Seguridad: guantes, lentes y ventilación
8. Preguntas frecuentes</t>
  </si>
  <si>
    <t xml:space="preserve">• Matriz de tres niveles de óxido (superficial, medio, profundo)
• Convertidor de óxido: aclarar que no sirve para todo y seguir etiqueta
• Candados: lubricar con producto adecuado; no usar grasa pesada en cerraduras
• Seguridad con químicos</t>
  </si>
  <si>
    <t xml:space="preserve">Cepillos de alambre y de copa, lijas, aflojatodo, desoxidantes, convertidores, pinturas anticorrosivas, lubricantes</t>
  </si>
  <si>
    <t xml:space="preserve">B02 · Herramientas básicas para el hogar: las 15 esenciales → ancla: «herramientas básicas para el hogar»
B12 · Candado anticizalla: cómo elegirlo para exterior → ancla: «candado anticizalla»</t>
  </si>
  <si>
    <t xml:space="preserve">B44 · Cómo organizar el tablero de herramientas del garaje → ancla: «organizar herramientas»
B53 · Mantenimiento de herramientas eléctricas: más vida útil → ancla: «mantenimiento de herramientas eléctricas»
B56 · Guía de lijas: qué grano usar en madera, metal y agua → ancla: «tipos de lijas»</t>
  </si>
  <si>
    <t xml:space="preserve">Descarga gratis la guía «Guía rápida: elimina y previene el óxido» al registrarte en Club 57.</t>
  </si>
  <si>
    <t xml:space="preserve">control-de-inventarios-ferreteria-robo-hormiga-quiebres-stock</t>
  </si>
  <si>
    <t xml:space="preserve">Control de inventarios en ferretería: evita robo hormiga</t>
  </si>
  <si>
    <t xml:space="preserve">Guía para dueños de ferreterías: cómo controlar inventarios, reducir mermas y robo hormiga y evitar quedarte sin stock de lo que más se vende.</t>
  </si>
  <si>
    <t xml:space="preserve">cómo evitar el robo hormiga; inventario de ferretería; punto de reorden; conteo cíclico; mermas en tienda; stock mínimo</t>
  </si>
  <si>
    <t xml:space="preserve">• ¿Cómo llevar el inventario de una ferretería?
• ¿Qué es el robo hormiga y cómo se previene?
• ¿Cómo calculo el punto de reorden de un producto?</t>
  </si>
  <si>
    <t xml:space="preserve">1. Los tres dolores: mermas, robo hormiga y quiebres de stock
2. Orden físico y codificación de productos
3. Conteo cíclico: qué contar y cada cuánto
4. Clasificación ABC: qué productos cuidar primero
5. Punto de reorden y stock mínimo: fórmula sencilla
6. Controles en caja, mostrador y almacén
7. Indicadores semanales que sí importan
8. Preguntas frecuentes</t>
  </si>
  <si>
    <t xml:space="preserve">• Contenido B2B para dueños de ferreterías; no revelar datos internos de la tienda
• No inventar estadísticas de merma ni de robo
• Fórmula de punto de reorden con ejemplo numérico
• No recomendar software específico</t>
  </si>
  <si>
    <t xml:space="preserve">No aplica catálogo; CTA hacia Club 57 y hacia asesoría para negocios</t>
  </si>
  <si>
    <t xml:space="preserve">B10 · Club 57 de Ferretería 57: cómo ganar puntos y beneficios → ancla: «club 57 ferretería 57»
B19 · 10 herramientas para iniciar tu negocio de plomería → ancla: «herramientas de plomero»</t>
  </si>
  <si>
    <t xml:space="preserve">B33 · Merchandising para ferreterías: exhibe y vende más → ancla: «merchandising para ferreterías»
B40 · 5 ventajas de comprar en una ferretería de barrio → ancla: «ferretería en querétaro»</t>
  </si>
  <si>
    <t xml:space="preserve">Ferreteros y sub-distribuidores de Querétaro como audiencia.</t>
  </si>
  <si>
    <t xml:space="preserve">Descarga gratis la guía «Plantilla de conteo cíclico y punto de reorden» al registrarte en Club 57.</t>
  </si>
  <si>
    <t xml:space="preserve">tipos-de-pegamentos-y-adhesivos-contacto-epoxico-cianoacrilato</t>
  </si>
  <si>
    <t xml:space="preserve">Tipos de pegamentos: contacto, epóxico y cianoacrilato</t>
  </si>
  <si>
    <t xml:space="preserve">Qué pegamento usar para cada material: contacto, epóxico, cianoacrilato, madera o PVC. Evita proyectos que se despegan con esta tabla.</t>
  </si>
  <si>
    <t xml:space="preserve">qué pegamento usar para metal; pegamento para madera; pegamento epóxico; pegamento instantáneo; pegamento de contacto; pegamento para pvc</t>
  </si>
  <si>
    <t xml:space="preserve">• ¿Qué pegamento sirve para pegar metal con madera?
• ¿Cuál es la diferencia entre pegamento epóxico y cianoacrilato?
• ¿Cuánto tarda en secar un pegamento de contacto?</t>
  </si>
  <si>
    <t xml:space="preserve">1. Por qué se despegan los proyectos
2. Pegamento de contacto
3. Epóxico (dos componentes)
4. Cianoacrilato (instantáneo)
5. Pegamento para madera
6. Cemento para PVC y otros especializados
7. Tabla: material + material → adhesivo
8. Preparación de superficies y errores comunes
9. Preguntas frecuentes</t>
  </si>
  <si>
    <t xml:space="preserve">• Tabla de combinaciones de materiales (madera–madera, metal–metal, plástico–metal, etc.)
• Tiempos de secado y curado: tomar de la etiqueta
• Seguridad: ventilación y guantes
• Venta cruzada de caja: pegamento + lija + abrazaderas</t>
  </si>
  <si>
    <t xml:space="preserve">Pegamentos de contacto, epóxicos, instantáneos, para madera, cemento para PVC; lijas; abrazaderas</t>
  </si>
  <si>
    <t xml:space="preserve">B02 · Herramientas básicas para el hogar: las 15 esenciales → ancla: «herramientas básicas para el hogar»
B03 · Cómo escoger la broca correcta según el material → ancla: «tipos de brocas»
B04 · Tubería PPR, PVC, CPVC o cobre: diferencias y cuál usar → ancla: «diferencia entre tubería ppr y pvc»</t>
  </si>
  <si>
    <t xml:space="preserve">B30 · Silicón, sellador acrílico y poliuretano: diferencias → ancla: «diferencia entre silicón y sellador acrílico»
B43 · Silicón automotriz vs sellador de construcción → ancla: «silicón de alta temperatura»
B56 · Guía de lijas: qué grano usar en madera, metal y agua → ancla: «tipos de lijas»</t>
  </si>
  <si>
    <t xml:space="preserve">Descarga gratis la guía «Tabla de adhesivos: qué pegamento para cada material» al registrarte en Club 57.</t>
  </si>
  <si>
    <t xml:space="preserve">como-cambiar-sapo-valvula-herrajes-tanque-escusado</t>
  </si>
  <si>
    <t xml:space="preserve">Cómo cambiar el sapo y herrajes del tanque del escusado</t>
  </si>
  <si>
    <t xml:space="preserve">Aprende a cambiar el sapo, la válvula de llenado y los herrajes del tanque del escusado paso a paso y ahorra agua evitando fugas silenciosas.</t>
  </si>
  <si>
    <t xml:space="preserve">fuga en el escusado; válvula de llenado; herrajes del inodoro; cómo saber si el escusado tiene fuga; kit de reparación de tanque</t>
  </si>
  <si>
    <t xml:space="preserve">• ¿Cómo sé si mi escusado tiene fuga silenciosa?
• ¿Qué es el sapo del tanque del escusado?
• ¿Cómo cambio la válvula de llenado?</t>
  </si>
  <si>
    <t xml:space="preserve">1. Cómo funciona el tanque del escusado
2. Cómo detectar una fuga silenciosa (prueba con colorante)
3. Qué componentes pueden fallar: sapo, válvula de llenado, flotador y palanca
4. Herramientas y kit de reparación
5. Paso a paso: cambiar el sapo
6. Paso a paso: cambiar la válvula de llenado y ajustar el nivel
7. Cuándo cambiar todo el herraje
8. Preguntas frecuentes</t>
  </si>
  <si>
    <t xml:space="preserve">• Aclarar nombres regionales (sapo, tapón, flapper) para SEO
• Cerrar llave de paso y vaciar el tanque antes de tocar
• Ahorro de agua: sin cifras de litros
• Guía fin de semana con kit completo</t>
  </si>
  <si>
    <t xml:space="preserve">Kits de herrajes para tanque, sapos, válvulas de llenado, flotadores, mangueras flexibles, cinta teflón</t>
  </si>
  <si>
    <t xml:space="preserve">B02 · Herramientas básicas para el hogar: las 15 esenciales → ancla: «herramientas básicas para el hogar»
B04 · Tubería PPR, PVC, CPVC o cobre: diferencias y cuál usar → ancla: «diferencia entre tubería ppr y pvc»
B11 · Cómo destapar el lavabo sin dañar la tubería de PVC → ancla: «cómo destapar un lavabo»
B13 · Cinta teflón: para qué sirve y cómo se aplica bien → ancla: «cinta teflón»</t>
  </si>
  <si>
    <t xml:space="preserve">B32 · Cómo reparar una fuga en la llave mezcladora → ancla: «reparar llave mezcladora»</t>
  </si>
  <si>
    <t xml:space="preserve">Descarga gratis la guía «Guía de reparación del tanque del escusado» al registrarte en Club 57.</t>
  </si>
  <si>
    <t xml:space="preserve">diferencias-silicon-sellador-acrilico-poliuretano</t>
  </si>
  <si>
    <t xml:space="preserve">Silicón, sellador acrílico y poliuretano: diferencias</t>
  </si>
  <si>
    <t xml:space="preserve">Aprende la diferencia entre silicón, sellador acrílico y de poliuretano y cuál usar en baño, ventanas, exteriores y juntas de concreto.</t>
  </si>
  <si>
    <t xml:space="preserve">silicón o poliuretano; sellador para exteriores; sellador para ventanas; silicón para baño; sellador para juntas de concreto</t>
  </si>
  <si>
    <t xml:space="preserve">• ¿Qué diferencia hay entre silicón y sellador acrílico?
• ¿Qué sellador se usa en exteriores?
• ¿Se puede pintar sobre silicón?</t>
  </si>
  <si>
    <t xml:space="preserve">1. Por qué importa elegir bien el sellador
2. Silicón: baños, cocinas y vidrio
3. Sellador acrílico: interiores y acabados pintables
4. Poliuretano: exteriores y juntas con movimiento
5. Tabla: aplicación → sellador
6. Cómo aplicar bien (preparación, corte de boquilla, acabado)
7. El error clásico: silicón de baño en exteriores
8. Preguntas frecuentes</t>
  </si>
  <si>
    <t xml:space="preserve">• Compatibilidad con pintura según etiqueta del producto
• Cura y tiempos: etiqueta
• Mencionar pistola de calafateo y herramientas
• Clave para diferenciar de los silicones automotrices de alta temperatura</t>
  </si>
  <si>
    <t xml:space="preserve">Silicones, selladores acrílicos y de poliuretano, pistolas de calafateo, espátulas</t>
  </si>
  <si>
    <t xml:space="preserve">B06 · Salitre y humedad en muros en Querétaro: cómo evitarlos → ancla: «salitre en paredes»
B08 · Brocha o rodillo: cuál usar con pintura vinílica o esmalte → ancla: «brocha o rodillo»
B24 · Cómo calcular cuánta pintura o impermeabilizante necesitas → ancla: «cómo calcular pintura»
B28 · Tipos de pegamentos: contacto, epóxico y cianoacrilato → ancla: «tipos de pegamentos»</t>
  </si>
  <si>
    <t xml:space="preserve">B43 · Silicón automotriz vs sellador de construcción → ancla: «silicón de alta temperatura»
B58 · Impermeabilizante acrílico vs manto: cuál conviene → ancla: «impermeabilizante acrílico vs manto»</t>
  </si>
  <si>
    <t xml:space="preserve">Lluvias del Bajío y exteriores: justificar la elección con la etiqueta, no con afirmaciones climáticas.</t>
  </si>
  <si>
    <t xml:space="preserve">Descarga gratis la guía «Guía de selección de selladores» al registrarte en Club 57.</t>
  </si>
  <si>
    <t xml:space="preserve">guia-de-espatulas-cunas-y-llanas-acabados-construccion</t>
  </si>
  <si>
    <t xml:space="preserve">Espátulas, llanas y cuñas: guía para acabados perfectos</t>
  </si>
  <si>
    <t xml:space="preserve">Qué espátula, llana o cuña usar según el acabado: dentadas, lisas, de goma o de esponja. Guía para albañiles, tablaroqueros y yeseros.</t>
  </si>
  <si>
    <t xml:space="preserve">para qué sirve una llana dentada; espátulas para tablaroca; llana lisa o de esponja; herramientas del yesero; herramientas del albañil</t>
  </si>
  <si>
    <t xml:space="preserve">• ¿Para qué sirve una llana dentada?
• ¿Qué espátula se usa para tablaroca?
• ¿Qué llana se usa para el acabado de un aplanado?</t>
  </si>
  <si>
    <t xml:space="preserve">1. Espátulas: flexibles, rígidas y anchas
2. Llanas lisas
3. Llanas dentadas
4. Llanas de goma, esponja y madera
5. Cuñas y separadores
6. Tabla: trabajo → herramienta
7. Cuidado y limpieza
8. Preguntas frecuentes</t>
  </si>
  <si>
    <t xml:space="preserve">• Orientado a albañiles, tablaroqueros y yeseros
• Tabla de trabajo y herramienta; nombres regionales para SEO
• Dentado y tamaño de llana según el formato de piso: seguir la ficha del adhesivo</t>
  </si>
  <si>
    <t xml:space="preserve">Espátulas, llanas, cucharas, cuñas y separadores, cubetas</t>
  </si>
  <si>
    <t xml:space="preserve">B08 · Brocha o rodillo: cuál usar con pintura vinílica o esmalte → ancla: «brocha o rodillo»
B19 · 10 herramientas para iniciar tu negocio de plomería → ancla: «herramientas de plomero»</t>
  </si>
  <si>
    <t xml:space="preserve">B37 · Remachadora manual y medida de remaches: cómo elegir → ancla: «remachadora manual»
B47 · Herramientas para tablaroca: tu primer muro falso → ancla: «herramientas para tablaroca»
B54 · Cemento blanco, gris, mortero y yeso: diferencias → ancla: «diferencia entre cemento y mortero»</t>
  </si>
  <si>
    <t xml:space="preserve">Descarga gratis la guía «Glosario visual de herramientas de acabado» al registrarte en Club 57.</t>
  </si>
  <si>
    <t xml:space="preserve">como-reparar-fuga-llave-mezcladora-lavabo-fregadero</t>
  </si>
  <si>
    <t xml:space="preserve">Cómo reparar una fuga en la llave mezcladora</t>
  </si>
  <si>
    <t xml:space="preserve">Repara la fuga de tu llave mezcladora del lavabo o fregadero paso a paso: identifica el origen, cambia empaques o cartuchos y evita goteos.</t>
  </si>
  <si>
    <t xml:space="preserve">fuga en llave mezcladora; cambiar cartucho de llave; llave del lavabo gotea; empaques de llave; llave monomando fuga</t>
  </si>
  <si>
    <t xml:space="preserve">• ¿Por qué gotea mi llave mezcladora?
• ¿Cómo cambio el cartucho de una llave?
• ¿Qué herramientas necesito para reparar una llave?</t>
  </si>
  <si>
    <t xml:space="preserve">1. Encuentra de dónde viene la fuga (pico, base o mango)
2. Tipos de llave: dos manerales o monomando
3. Herramientas y refacciones
4. Reparación paso a paso con empaques
5. Reparación paso a paso con cartucho
6. Sellado de roscas y revisión final
7. Cuándo conviene reemplazar la llave
8. Preguntas frecuentes</t>
  </si>
  <si>
    <t xml:space="preserve">• Cerrar llaves de paso antes de desarmar; tapar el drenaje
• Identificar modelo y tipo antes de comprar refacción
• Venta recurrente: empaques, cartuchos, cinta teflón</t>
  </si>
  <si>
    <t xml:space="preserve">Empaques, cartuchos, llaves mezcladoras, cinta teflón, llaves ajustables</t>
  </si>
  <si>
    <t xml:space="preserve">B04 · Tubería PPR, PVC, CPVC o cobre: diferencias y cuál usar → ancla: «diferencia entre tubería ppr y pvc»
B11 · Cómo destapar el lavabo sin dañar la tubería de PVC → ancla: «cómo destapar un lavabo»
B13 · Cinta teflón: para qué sirve y cómo se aplica bien → ancla: «cinta teflón»
B29 · Cómo cambiar el sapo y herrajes del tanque del escusado → ancla: «cambiar sapo del tanque del escusado»</t>
  </si>
  <si>
    <t xml:space="preserve">Descarga gratis la guía «Guía: diagnóstico de fugas en llaves» al registrarte en Club 57.</t>
  </si>
  <si>
    <t xml:space="preserve">merchandising-ferretero-exhibicion-aumentar-ventas-mostrador</t>
  </si>
  <si>
    <t xml:space="preserve">Merchandising para ferreterías: exhibe y vende más</t>
  </si>
  <si>
    <t xml:space="preserve">Técnicas de exhibición para ferreterías: ubicación, venta cruzada, kits y mostrador. Cómo aumentar el ticket promedio sin saturar el espacio.</t>
  </si>
  <si>
    <t xml:space="preserve">exhibición de productos ferretería; cómo acomodar una ferretería; venta cruzada ferretería; kits de productos; aumentar ventas ferretería</t>
  </si>
  <si>
    <t xml:space="preserve">• ¿Cómo se acomoda una ferretería para vender más?
• ¿Qué es la venta cruzada en una ferretería?
• ¿Qué productos van junto a la caja?</t>
  </si>
  <si>
    <t xml:space="preserve">1. Por qué la exhibición vende
2. Ubicación: zonas calientes y frías
3. Altura de ojos, orden y limpieza
4. Venta cruzada: tríos y kits
5. Mostrador y caja: compra por impulso
6. Temporada: Buen Fin, Navidad, regreso a clases
7. Señalización y precios visibles
8. Medir resultados
9. Preguntas frecuentes</t>
  </si>
  <si>
    <t xml:space="preserve">• No inventar estadísticas; usar criterios cualitativos
• Incluir ejemplos de kits (taquete + broca + tornillo; teflón + cinta + llave)
• Mensaje de liderazgo de industria sin revelar datos internos de la tienda</t>
  </si>
  <si>
    <t xml:space="preserve">No aplica catálogo; enlaza a guías técnicas relacionadas</t>
  </si>
  <si>
    <t xml:space="preserve">B01 · Marcas Truper: Pretul, Foset, Volteck y cuál elegir → ancla: «marcas truper»
B03 · Cómo escoger la broca correcta según el material → ancla: «tipos de brocas»
B19 · 10 herramientas para iniciar tu negocio de plomería → ancla: «herramientas de plomero»
B27 · Control de inventarios en ferretería: evita robo hormiga → ancla: «control de inventarios ferretería»</t>
  </si>
  <si>
    <t xml:space="preserve">B40 · 5 ventajas de comprar en una ferretería de barrio → ancla: «ferretería en querétaro»</t>
  </si>
  <si>
    <t xml:space="preserve">Descarga gratis la guía «Checklist de exhibición para ferreterías» al registrarte en Club 57.</t>
  </si>
  <si>
    <t xml:space="preserve">guia-de-guantes-de-trabajo-nitrilo-carnaza-latex-anticorte</t>
  </si>
  <si>
    <t xml:space="preserve">Guantes de trabajo: nitrilo, carnaza, látex o anticorte</t>
  </si>
  <si>
    <t xml:space="preserve">Qué guante elegir según el trabajo: nitrilo, carnaza, látex o anticorte. Guía de selección para compras de empresas, talleres y obra.</t>
  </si>
  <si>
    <t xml:space="preserve">guantes de nitrilo para qué sirven; guantes de carnaza; guantes anticorte; guantes de látex; guantes para soldar; equipo de protección personal</t>
  </si>
  <si>
    <t xml:space="preserve">• ¿Para qué sirven los guantes de nitrilo?
• ¿Qué guantes se usan para soldar?
• ¿Qué significa guante anticorte?</t>
  </si>
  <si>
    <t xml:space="preserve">1. Por qué el guante correcto importa
2. Nitrilo: grasas, aceites y químicos
3. Carnaza: trabajo pesado y soldadura
4. Látex: limpieza y agua
5. Anticorte: filos y vidrio
6. Tabla: actividad → guante
7. Talla, ajuste y vida útil
8. Preguntas frecuentes</t>
  </si>
  <si>
    <t xml:space="preserve">• Nivel de corte: remitir al empaque del guante
• Sin números de norma; sugerir consultar al responsable de seguridad e higiene
• Perfil de comprador: encargado de compras en parques industriales</t>
  </si>
  <si>
    <t xml:space="preserve">Guantes de nitrilo, carnaza, látex, anticorte</t>
  </si>
  <si>
    <t xml:space="preserve">B12 · Candado anticizalla: cómo elegirlo para exterior → ancla: «candado anticizalla»</t>
  </si>
  <si>
    <t xml:space="preserve">B35 · Herramientas para la cajuela del auto en emergencias → ancla: «kit de emergencia para auto»
B36 · Chapa de sobreponer, embutir o alta seguridad: cuál elegir → ancla: «tipos de chapas para puerta»
B42 · Tornillería de acero inoxidable: grados y cuándo usarla → ancla: «tornillería de acero inoxidable»
B45 · EPP en la obra: guía del equipo de protección personal → ancla: «equipo de protección personal en obra»
B48 · Soldadura 6013 vs 7018: diferencias y cuándo usarlas → ancla: «soldadura 6013 y 7018»
B51 · Discos de corte: diamante, abrasivo y para madera → ancla: «tipos de discos de corte»
B57 · Herramientas para preparar tu jardín en primavera → ancla: «herramientas de jardinería»</t>
  </si>
  <si>
    <t xml:space="preserve">Parques industriales de la región: usar solo como referencia de audiencia.</t>
  </si>
  <si>
    <t xml:space="preserve">Descarga gratis la guía «Matriz de selección de guantes de trabajo» al registrarte en Club 57.</t>
  </si>
  <si>
    <t xml:space="preserve">herramientas-basicas-cajuela-auto-emergencias</t>
  </si>
  <si>
    <t xml:space="preserve">Herramientas para la cajuela del auto en emergencias</t>
  </si>
  <si>
    <t xml:space="preserve">Qué llevar en la cajuela para emergencias viales: herramientas, cables, linterna, botiquín y más. Lista para tus viajes de vacaciones.</t>
  </si>
  <si>
    <t xml:space="preserve">qué llevar en la cajuela del coche; herramientas para auto; cables pasa corriente; cinta ducto; kit de carretera</t>
  </si>
  <si>
    <t xml:space="preserve">• ¿Qué herramientas debo llevar en el coche?
• ¿Qué debe tener un kit de emergencia para carretera?
• ¿Cómo uso unos cables pasa corriente?</t>
  </si>
  <si>
    <t xml:space="preserve">1. Por qué armar tu kit antes de viajar
2. Herramientas mecánicas básicas
3. Cables pasa corriente, inflador y manómetro
4. Iluminación y señalización
5. Botiquín y extras
6. Dónde guardarlo y cada cuánto revisarlo
7. Kits prearmados
8. Preguntas frecuentes</t>
  </si>
  <si>
    <t xml:space="preserve">• Presentar como equipo recomendado, sin afirmar obligaciones legales
• Estacional: vacaciones de diciembre
• Oportunidad de kit prearmado de emergencia
• Evitar recomendar trabajos peligrosos en carretera</t>
  </si>
  <si>
    <t xml:space="preserve">Cables pasa corriente, linternas, cinta ducto, guantes, infladores, manómetros, multiherramientas, señalización</t>
  </si>
  <si>
    <t xml:space="preserve">B02 · Herramientas básicas para el hogar: las 15 esenciales → ancla: «herramientas básicas para el hogar»
B34 · Guantes de trabajo: nitrilo, carnaza, látex o anticorte → ancla: «guantes de trabajo»</t>
  </si>
  <si>
    <t xml:space="preserve">B46 · Llaves y dados: medida milimétrica vs pulgadas → ancla: «llaves milimétricas vs estándar»
B55 · Cómo leer un flexómetro: pulgadas, fracciones y mm → ancla: «cómo leer un flexómetro»</t>
  </si>
  <si>
    <t xml:space="preserve">Salidas por carretera desde Querétaro: no usar rutas específicas.</t>
  </si>
  <si>
    <t xml:space="preserve">Descarga gratis la guía «Checklist: kit de emergencia para tu auto» al registrarte en Club 57.</t>
  </si>
  <si>
    <t xml:space="preserve">chapa-sobreponer-embutir-o-alta-seguridad-cual-elegir</t>
  </si>
  <si>
    <t xml:space="preserve">Chapa de sobreponer, embutir o alta seguridad: cuál elegir</t>
  </si>
  <si>
    <t xml:space="preserve">Diferencias entre chapas de sobreponer, de embutir y cerraduras de alta seguridad, y cómo elegir según tu puerta: madera, herrería o aluminio.</t>
  </si>
  <si>
    <t xml:space="preserve">chapa de sobreponer; chapa de embutir; chapa de alta seguridad; cerradura para puerta de herrería; cómo medir una chapa</t>
  </si>
  <si>
    <t xml:space="preserve">• ¿Qué diferencia hay entre una chapa de sobreponer y una de embutir?
• ¿Qué chapa conviene para una puerta de herrería?
• ¿Cómo mido para comprar una chapa?</t>
  </si>
  <si>
    <t xml:space="preserve">1. Tipos de cerraduras para puertas
2. Chapa de sobreponer
3. Chapa de embutir
4. Cerraduras de alta seguridad (multipunto, cilindro reforzado)
5. Cómo elegir según el material de la puerta
6. Cómo medir y qué datos llevar al mostrador
7. Instalación y mantenimiento
8. Preguntas frecuentes</t>
  </si>
  <si>
    <t xml:space="preserve">• Tabla: tipo de puerta × chapa recomendada
• Datos para comprar: grosor, entrada de llave, mano de apertura
• Honestidad: ninguna cerradura es infalible; combinar con otras medidas
• Estacional: antes de vacaciones</t>
  </si>
  <si>
    <t xml:space="preserve">Chapas de sobreponer, de embutir, de alta seguridad, cilindros, pasadores</t>
  </si>
  <si>
    <t xml:space="preserve">B12 · Candado anticizalla: cómo elegirlo para exterior → ancla: «candado anticizalla»
B34 · Guantes de trabajo: nitrilo, carnaza, látex o anticorte → ancla: «guantes de trabajo»</t>
  </si>
  <si>
    <t xml:space="preserve">B49 · Candados para moto, bicicleta y rejas: cómo elegir → ancla: «candado para moto»</t>
  </si>
  <si>
    <t xml:space="preserve">Descarga gratis la guía «Cómo medir y elegir tu chapa» al registrarte en Club 57.</t>
  </si>
  <si>
    <t xml:space="preserve">remachadoras-manuales-y-como-elegir-la-medida-de-remaches</t>
  </si>
  <si>
    <t xml:space="preserve">Remachadora manual y medida de remaches: cómo elegir</t>
  </si>
  <si>
    <t xml:space="preserve">Qué remachadora manual elegir y cómo escoger diámetro y largo de remache según el material. Guía para canceleros, hojalateros y aficionados.</t>
  </si>
  <si>
    <t xml:space="preserve">cómo usar una remachadora; medida de remaches; remaches pop; remachadora de palanca; remaches de aluminio</t>
  </si>
  <si>
    <t xml:space="preserve">• ¿Cómo se usa una remachadora manual?
• ¿Cómo elijo la medida de un remache?
• ¿Qué diámetro de broca se usa para un remache?</t>
  </si>
  <si>
    <t xml:space="preserve">1. Qué es un remache ciego y cuándo conviene
2. Remachadoras manuales: tipos
3. Material del remache: aluminio, acero e inoxidable
4. Cómo elegir diámetro y largo según el grosor
5. Paso a paso para remachar
6. Errores comunes
7. Preguntas frecuentes</t>
  </si>
  <si>
    <t xml:space="preserve">• Tabla diámetro del remache / broca / grosor
• Enlace con brocas
• Público: canceleros, instaladores de aluminio y hojalateros</t>
  </si>
  <si>
    <t xml:space="preserve">Remachadoras, remaches (aluminio, acero), brocas</t>
  </si>
  <si>
    <t xml:space="preserve">B03 · Cómo escoger la broca correcta según el material → ancla: «tipos de brocas»
B19 · 10 herramientas para iniciar tu negocio de plomería → ancla: «herramientas de plomero»
B31 · Espátulas, llanas y cuñas: guía para acabados perfectos → ancla: «tipos de llanas»</t>
  </si>
  <si>
    <t xml:space="preserve">B42 · Tornillería de acero inoxidable: grados y cuándo usarla → ancla: «tornillería de acero inoxidable»</t>
  </si>
  <si>
    <t xml:space="preserve">Descarga gratis la guía «Tabla de remaches: diámetro, largo y broca» al registrarte en Club 57.</t>
  </si>
  <si>
    <t xml:space="preserve">como-cambiar-pastilla-termomagnetica-centro-de-carga</t>
  </si>
  <si>
    <t xml:space="preserve">Cómo cambiar una pastilla termomagnética con seguridad</t>
  </si>
  <si>
    <t xml:space="preserve">Cómo identificar y cambiar una pastilla termomagnética del centro de carga con seguridad y cuándo es mejor llamar a un electricista.</t>
  </si>
  <si>
    <t xml:space="preserve">cambiar pastilla térmica; centro de carga; interruptor termomagnético; por qué se botan las pastillas; sobrecarga luces navideñas</t>
  </si>
  <si>
    <t xml:space="preserve">• ¿Por qué se baja la pastilla termomagnética?
• ¿Cómo sé qué pastilla necesito?
• ¿Es seguro cambiar una pastilla yo mismo?</t>
  </si>
  <si>
    <t xml:space="preserve">1. Qué hace una pastilla termomagnética
2. Por qué se dispara: sobrecarga, corto o falla
3. Seguridad primero: cuándo NO debes hacerlo tú
4. Cómo identificar la pastilla correcta (amperes, polos, compatibilidad con el centro de carga)
5. Procedimiento paso a paso con energía desconectada y verificación
6. Después del cambio: pruebas y revisión
7. Foco navideño y sobrecarga: cómo evitar que se dispare
8. Preguntas frecuentes</t>
  </si>
  <si>
    <t xml:space="preserve">• Contenido de riesgo alto: incluir aviso principal al inicio recomendando electricista si hay dudas
• Verificar ausencia de tensión con instrumento adecuado antes de tocar
• Compatibilidad de la pastilla con marca/modelo del centro de carga
• Ligar al artículo de calibres y diablitos</t>
  </si>
  <si>
    <t xml:space="preserve">Interruptores termomagnéticos, centros de carga, probadores de voltaje, guantes aislantes</t>
  </si>
  <si>
    <t xml:space="preserve">B05 · Calibre de cable eléctrico para cada electrodoméstico → ancla: «calibre de cable para casa»
B15 · Diablitos y falsos contactos: riesgos de tu instalación → ancla: «diablito eléctrico peligro»
B16 · Conectores eléctricos: capuchones, regletas y cinta → ancla: «conectores eléctricos»
B21 · Focos LED vs ahorradores: lúmenes, watts y color → ancla: «focos led vs ahorradores»</t>
  </si>
  <si>
    <t xml:space="preserve">B50 · Cómo usar un multímetro: contactos, pilas y fusibles → ancla: «cómo usar un multímetro»</t>
  </si>
  <si>
    <t xml:space="preserve">Descarga gratis la guía «Checklist de seguridad eléctrica del hogar» al registrarte en Club 57.</t>
  </si>
  <si>
    <t xml:space="preserve">que-significan-cedula-40-80-y-numeros-en-tubos-pvc</t>
  </si>
  <si>
    <t xml:space="preserve">Tubos de PVC: qué significan cédula 40, 80 y sanitario</t>
  </si>
  <si>
    <t xml:space="preserve">Aprende a leer los tubos de PVC: cédulas 40 y 80, diámetros nominales, líneas hidráulica y sanitaria y cuál usar en cada instalación.</t>
  </si>
  <si>
    <t xml:space="preserve">qué significa cédula 40; tubo pvc sanitario; tubo pvc hidráulico; diámetro nominal pvc; RD pvc</t>
  </si>
  <si>
    <t xml:space="preserve">• ¿Qué significa cédula 40 en un tubo de PVC?
• ¿Cuál es la diferencia entre PVC hidráulico y sanitario?
• ¿Cómo se mide el diámetro de un tubo de PVC?</t>
  </si>
  <si>
    <t xml:space="preserve">1. Cómo leer el marcaje de un tubo de PVC
2. Cédula 40 y cédula 80: espesor y presión
3. Diámetro nominal vs diámetro real
4. PVC hidráulico y PVC sanitario: diferencias
5. Conexiones y pegamentos compatibles
6. Tabla de consulta para el mostrador
7. Preguntas frecuentes</t>
  </si>
  <si>
    <t xml:space="preserve">• Sin datos numéricos de presión; remitir al marcaje del tubo y a la ficha del fabricante
• Formato de bolsillo para plomeros y contratistas
• Enlazar con el comparativo de tuberías</t>
  </si>
  <si>
    <t xml:space="preserve">Tubos y conexiones de PVC, cemento para PVC, limpiador</t>
  </si>
  <si>
    <t xml:space="preserve">B04 · Tubería PPR, PVC, CPVC o cobre: diferencias y cuál usar → ancla: «diferencia entre tubería ppr y pvc»
B13 · Cinta teflón: para qué sirve y cómo se aplica bien → ancla: «cinta teflón»
B19 · 10 herramientas para iniciar tu negocio de plomería → ancla: «herramientas de plomero»</t>
  </si>
  <si>
    <t xml:space="preserve">Descarga gratis la guía «Guía de bolsillo: tuberías de PVC» al registrarte en Club 57.</t>
  </si>
  <si>
    <t xml:space="preserve">ventajas-de-comprar-en-ferreteria-de-barrio</t>
  </si>
  <si>
    <t xml:space="preserve">5 ventajas de comprar en una ferretería de barrio</t>
  </si>
  <si>
    <t xml:space="preserve">Asesoría técnica, entrega rápida y trato directo: 5 ventajas de comprar tus materiales de construcción en una ferretería de barrio en Querétaro.</t>
  </si>
  <si>
    <t xml:space="preserve">ferretería de barrio; comprar materiales de construcción; ferretería cerca de mí; ferretería con envío en querétaro; ventajas de ferretería local</t>
  </si>
  <si>
    <t xml:space="preserve">• ¿Qué ventajas tiene comprar en una ferretería local?
• ¿Hay ferreterías con envío a domicilio en Querétaro?
• ¿Puedo comprar en línea y recoger en tienda?</t>
  </si>
  <si>
    <t xml:space="preserve">1. Asesoría técnica cara a cara
2. Compra lo que necesitas, en la cantidad exacta
3. Tiempos de entrega rápidos
4. Trato directo y soluciones
5. Comunidad local y trabajo con proveedores cercanos
6. Cómo comprar en Ferretería 57: tienda, recogida y envío local
7. Preguntas frecuentes</t>
  </si>
  <si>
    <t xml:space="preserve">• Tono honesto: no denigrar a otras cadenas
• No inventar tiempos de entrega ni condiciones: tomar zonas, costos y políticas reales del sitio
• Mencionar Club 57</t>
  </si>
  <si>
    <t xml:space="preserve">Catálogo general; envío local; Club 57</t>
  </si>
  <si>
    <t xml:space="preserve">B01 · Marcas Truper: Pretul, Foset, Volteck y cuál elegir → ancla: «marcas truper»
B10 · Club 57 de Ferretería 57: cómo ganar puntos y beneficios → ancla: «club 57 ferretería 57»
B27 · Control de inventarios en ferretería: evita robo hormiga → ancla: «control de inventarios ferretería»
B33 · Merchandising para ferreterías: exhibe y vende más → ancla: «merchandising para ferreterías»</t>
  </si>
  <si>
    <t xml:space="preserve">Tienda en Casa Blanca; envío local por colonia (matriz de zonas del sitio).</t>
  </si>
  <si>
    <t xml:space="preserve">Descarga gratis la guía «Checklist: qué llevar a la ferretería para comprar bien» al registrarte en Club 57.</t>
  </si>
  <si>
    <t xml:space="preserve">como-limpiar-y-guardar-brochas-y-rodillos</t>
  </si>
  <si>
    <t xml:space="preserve">Cómo limpiar y guardar brochas y rodillos para que duren</t>
  </si>
  <si>
    <t xml:space="preserve">Limpia brochas y rodillos después de pintar según el tipo de pintura, y guárdalos bien para que te duren años. Pasos y productos útiles.</t>
  </si>
  <si>
    <t xml:space="preserve">limpiar rodillo de pintura; limpiar brocha con esmalte; cómo guardar brochas; aguarrás o thinner; peine para brochas</t>
  </si>
  <si>
    <t xml:space="preserve">• ¿Cómo se limpia una brocha con pintura vinílica?
• ¿Con qué se limpia una brocha de esmalte?
• ¿Cómo guardo las brochas entre una mano y otra?</t>
  </si>
  <si>
    <t xml:space="preserve">1. Por qué limpiar bien alarga la vida de tus herramientas
2. Pintura base agua: agua y jabón
3. Pintura base solvente: disolventes y precauciones
4. Rodillos: cómo exprimirlos y limpiarlos
5. Cómo guardar brochas y rodillos entre manos y al terminar
6. Qué hacer con residuos de solventes
7. Preguntas frecuentes</t>
  </si>
  <si>
    <t xml:space="preserve">• Ventilación y guantes con disolventes
• Residuos: no tirar solventes al drenaje y consultar a la autoridad local
• Gancho natural: venta de limpiadores, peines y cepillos
• Enlazar a brocha/rodillo y cálculo de pintura</t>
  </si>
  <si>
    <t xml:space="preserve">Disolventes, aguarrás, peines para brochas, cepillos, guantes, bolsas, cinta</t>
  </si>
  <si>
    <t xml:space="preserve">B06 · Salitre y humedad en muros en Querétaro: cómo evitarlos → ancla: «salitre en paredes»
B08 · Brocha o rodillo: cuál usar con pintura vinílica o esmalte → ancla: «brocha o rodillo»
B24 · Cómo calcular cuánta pintura o impermeabilizante necesitas → ancla: «cómo calcular pintura»</t>
  </si>
  <si>
    <t xml:space="preserve">Descarga gratis la guía «Guía de limpieza y guardado de brochas y rodillos» al registrarte en Club 57.</t>
  </si>
  <si>
    <t xml:space="preserve">tornilleria-acero-inoxidable-grados-y-cuando-usarla</t>
  </si>
  <si>
    <t xml:space="preserve">Tornillería de acero inoxidable: grados y cuándo usarla</t>
  </si>
  <si>
    <t xml:space="preserve">Qué es la tornillería de acero inoxidable (304 y 316), cómo se compara en dureza con el acero al carbono y cuándo es indispensable.</t>
  </si>
  <si>
    <t xml:space="preserve">acero inoxidable 304 vs 316; tornillos inoxidables; grado de dureza de tornillos; tornillos para exterior; corrosión galvánica</t>
  </si>
  <si>
    <t xml:space="preserve">• ¿Qué diferencia hay entre acero inoxidable 304 y 316?
• ¿Cuándo debo usar tornillos inoxidables?
• ¿Qué significa el grado de un tornillo?</t>
  </si>
  <si>
    <t xml:space="preserve">1. Qué es el acero inoxidable y por qué no se oxida
2. 304 y 316: diferencias y usos
3. Grados de dureza: acero al carbono (SAE o ISO) vs inoxidable
4. Cuándo es indispensable: exterior, humedad, químicos, alimentos
5. Corrosión galvánica: no mezcles metales sin criterio
6. Cómo identificar y comprar tornillería inoxidable
7. Preguntas frecuentes</t>
  </si>
  <si>
    <t xml:space="preserve">• Sin valores de resistencia: remitir al fabricante
• Mencionar clases comunes sin inventar valores
• Orientación industria, techumbres y estructuras exteriores</t>
  </si>
  <si>
    <t xml:space="preserve">Tornillos, tuercas, rondanas y pijas de acero inoxidable (ver catálogo)</t>
  </si>
  <si>
    <t xml:space="preserve">B03 · Cómo escoger la broca correcta según el material → ancla: «tipos de brocas»
B34 · Guantes de trabajo: nitrilo, carnaza, látex o anticorte → ancla: «guantes de trabajo»
B37 · Remachadora manual y medida de remaches: cómo elegir → ancla: «remachadora manual»</t>
  </si>
  <si>
    <t xml:space="preserve">B48 · Soldadura 6013 vs 7018: diferencias y cuándo usarlas → ancla: «soldadura 6013 y 7018»
B51 · Discos de corte: diamante, abrasivo y para madera → ancla: «tipos de discos de corte»
B52 · Mangueras industriales de aire y agua vs de jardín → ancla: «manguera industrial»</t>
  </si>
  <si>
    <t xml:space="preserve">Descarga gratis la guía «Guía de selección de tornillería por ambiente» al registrarte en Club 57.</t>
  </si>
  <si>
    <t xml:space="preserve">silicones-automotrices-alta-temperatura-vs-selladores-construccion</t>
  </si>
  <si>
    <t xml:space="preserve">Silicón automotriz vs sellador de construcción</t>
  </si>
  <si>
    <t xml:space="preserve">Diferencias entre silicones automotrices de alta temperatura y selladores de construcción: usos, resistencia y errores comunes en el mostrador.</t>
  </si>
  <si>
    <t xml:space="preserve">silicón automotriz; formador de juntas; sellador para motor; silicón rojo; diferencia silicón automotriz y de construcción</t>
  </si>
  <si>
    <t xml:space="preserve">• ¿Se puede usar silicón automotriz en construcción?
• ¿Qué silicón resiste altas temperaturas?
• ¿Qué significa RTV?</t>
  </si>
  <si>
    <t xml:space="preserve">1. Dos familias, dos usos
2. Silicones automotrices de alta temperatura: cuándo y dónde
3. Selladores de construcción: baño, ventanas y exteriores
4. Tabla: aplicación → producto
5. Errores comunes
6. Cómo guiar al cliente en el mostrador
7. Preguntas frecuentes</t>
  </si>
  <si>
    <t xml:space="preserve">• Temperaturas solo con etiqueta
• Evitar sustituciones peligrosas
• Complementa el artículo de silicones y poliuretanos</t>
  </si>
  <si>
    <t xml:space="preserve">Silicones de alta temperatura, formadores de juntas, selladores de construcción</t>
  </si>
  <si>
    <t xml:space="preserve">B06 · Salitre y humedad en muros en Querétaro: cómo evitarlos → ancla: «salitre en paredes»
B08 · Brocha o rodillo: cuál usar con pintura vinílica o esmalte → ancla: «brocha o rodillo»
B28 · Tipos de pegamentos: contacto, epóxico y cianoacrilato → ancla: «tipos de pegamentos»
B30 · Silicón, sellador acrílico y poliuretano: diferencias → ancla: «diferencia entre silicón y sellador acrílico»</t>
  </si>
  <si>
    <t xml:space="preserve">Descarga gratis la guía «Tabla: silicón automotriz vs sellador de construcción» al registrarte en Club 57.</t>
  </si>
  <si>
    <t xml:space="preserve">como-organizar-tablero-de-herramientas-taller-garaje</t>
  </si>
  <si>
    <t xml:space="preserve">Cómo organizar el tablero de herramientas del garaje</t>
  </si>
  <si>
    <t xml:space="preserve">Organiza tus herramientas con un tablero perforado: zonas, ganchos, ménsulas y siluetas. Ideas prácticas para tu taller o garaje en casa.</t>
  </si>
  <si>
    <t xml:space="preserve">tablero de herramientas; pegboard; organización de taller; ganchos para herramientas; cómo organizar el garaje</t>
  </si>
  <si>
    <t xml:space="preserve">• ¿Cómo organizar las herramientas en un garaje pequeño?
• ¿Qué es un tablero perforado?
• ¿Cómo se instala un tablero de herramientas en la pared?</t>
  </si>
  <si>
    <t xml:space="preserve">1. Planea por zonas de uso
2. Tablero perforado, riel y ménsulas
3. Ganchos y organizadores: qué comprar
4. Instalación segura en el muro
5. Siluetas y etiquetas
6. Ideas por espacio (garaje, cuarto de servicio, taller)
7. Mantenimiento del orden
8. Preguntas frecuentes</t>
  </si>
  <si>
    <t xml:space="preserve">• Esquema de distribución en texto y diagrama vectorial en el PDF
• Anclaje del tablero: usar taquetes apropiados (enlazar)
• Contenido inspiracional para redes (adaptar a Instagram/Facebook)</t>
  </si>
  <si>
    <t xml:space="preserve">Tableros perforados, ganchos, ménsulas, organizadores, cajas, taquetes</t>
  </si>
  <si>
    <t xml:space="preserve">B02 · Herramientas básicas para el hogar: las 15 esenciales → ancla: «herramientas básicas para el hogar»
B03 · Cómo escoger la broca correcta según el material → ancla: «tipos de brocas»
B09 · Tipos de taquetes: cuál usar en tablaroca y concreto → ancla: «tipos de taquetes»
B26 · Cómo quitar el óxido de herramientas y metales → ancla: «cómo quitar el óxido»</t>
  </si>
  <si>
    <t xml:space="preserve">Descarga gratis la guía «Planeador de tablero de herramientas» al registrarte en Club 57.</t>
  </si>
  <si>
    <t xml:space="preserve">guia-epp-equipo-de-proteccion-personal-obra</t>
  </si>
  <si>
    <t xml:space="preserve">EPP en la obra: guía del equipo de protección personal</t>
  </si>
  <si>
    <t xml:space="preserve">Qué equipo de protección personal necesitas en obra: casco, lentes, guantes, botas, arnés y más. Guía para constructoras, talleres y contratistas.</t>
  </si>
  <si>
    <t xml:space="preserve">epp obligatorio en construcción; casco lentes guantes botas; nom 017 stps; trabajos en altura epp</t>
  </si>
  <si>
    <t xml:space="preserve">• ¿Qué EPP es obligatorio en una obra?
• ¿Quién debe entregar el equipo de protección personal?
• ¿Qué EPP se necesita para trabajar en alturas?</t>
  </si>
  <si>
    <t xml:space="preserve">1. Qué es el EPP y por qué importa
2. Protección de cabeza, ojos y cara
3. Protección auditiva y respiratoria
4. Manos y pies
5. Trabajo en alturas: arnés y línea de vida
6. Visibilidad y ropa de trabajo
7. Mantenimiento y reemplazo del EPP
8. Preguntas frecuentes</t>
  </si>
  <si>
    <t xml:space="preserve">• No citar números de norma; recomendar consultar al responsable de seguridad e higiene
• No sustituir asesoría de seguridad e higiene
• Enfoque en compras por volumen para constructoras
• Enlazar a guantes y candados/ chapas del clúster seguridad</t>
  </si>
  <si>
    <t xml:space="preserve">Cascos, lentes, tapones, orejeras, guantes, botas, respiradores, chalecos, arneses</t>
  </si>
  <si>
    <t xml:space="preserve">B06 · Salitre y humedad en muros en Querétaro: cómo evitarlos → ancla: «salitre en paredes»
B12 · Candado anticizalla: cómo elegirlo para exterior → ancla: «candado anticizalla»
B34 · Guantes de trabajo: nitrilo, carnaza, látex o anticorte → ancla: «guantes de trabajo»</t>
  </si>
  <si>
    <t xml:space="preserve">B48 · Soldadura 6013 vs 7018: diferencias y cuándo usarlas → ancla: «soldadura 6013 y 7018»
B49 · Candados para moto, bicicleta y rejas: cómo elegir → ancla: «candado para moto»
B51 · Discos de corte: diamante, abrasivo y para madera → ancla: «tipos de discos de corte»
B52 · Mangueras industriales de aire y agua vs de jardín → ancla: «manguera industrial»</t>
  </si>
  <si>
    <t xml:space="preserve">Constructoras y talleres locales.</t>
  </si>
  <si>
    <t xml:space="preserve">Descarga gratis la guía «Checklist de EPP por actividad en obra» al registrarte en Club 57.</t>
  </si>
  <si>
    <t xml:space="preserve">medida-milimetrica-vs-pulgadas-en-llaves-y-dados</t>
  </si>
  <si>
    <t xml:space="preserve">Llaves y dados: medida milimétrica vs pulgadas</t>
  </si>
  <si>
    <t xml:space="preserve">Diferencia entre medidas milimétricas y estándar (pulgadas) en llaves y dados, cómo identificarlas y qué equivalencias evitar para no barrer tuercas.</t>
  </si>
  <si>
    <t xml:space="preserve">diferencia entre milimétrica y estándar; equivalencia pulgadas a milímetros; juego de dados; llaves españolas; medidas de llaves</t>
  </si>
  <si>
    <t xml:space="preserve">• ¿Cuál es la diferencia entre llave milimétrica y estándar?
• ¿Puedo usar una llave de pulgadas en una tuerca milimétrica?
• ¿Cómo sé la medida de una tuerca?</t>
  </si>
  <si>
    <t xml:space="preserve">1. Dos sistemas de medida
2. Cómo leer una llave o dado (marcas y números)
3. Equivalencias cercanas que causan errores
4. Cómo medir una tuerca o tornillo
5. Dados: cuadro de accionamiento (¼, ⅜, ½)
6. Tipos de llaves: españolas, combinadas, ajustables
7. Tabla de equivalencias
8. Preguntas frecuentes</t>
  </si>
  <si>
    <t xml:space="preserve">• Equivalencias calculadas con precisión (1 pulgada = 25.4 mm), no estimadas
• Advertir: usar una medida 'casi igual' redondea la tuerca
• Resolver dudas del mostrador y evitar devoluciones</t>
  </si>
  <si>
    <t xml:space="preserve">Juegos de dados, llaves españolas y combinadas, llaves ajustables, cintas métricas</t>
  </si>
  <si>
    <t xml:space="preserve">B02 · Herramientas básicas para el hogar: las 15 esenciales → ancla: «herramientas básicas para el hogar»
B25 · Tipos de pinzas: de presión, electricista, punta y corte → ancla: «tipos de pinzas»
B35 · Herramientas para la cajuela del auto en emergencias → ancla: «kit de emergencia para auto»</t>
  </si>
  <si>
    <t xml:space="preserve">B55 · Cómo leer un flexómetro: pulgadas, fracciones y mm → ancla: «cómo leer un flexómetro»</t>
  </si>
  <si>
    <t xml:space="preserve">Descarga gratis la guía «Tabla de equivalencias: llaves y dados mm / pulgadas» al registrarte en Club 57.</t>
  </si>
  <si>
    <t xml:space="preserve">herramientas-para-tablaroca-primer-muro-falso</t>
  </si>
  <si>
    <t xml:space="preserve">Herramientas para tablaroca: tu primer muro falso</t>
  </si>
  <si>
    <t xml:space="preserve">Qué herramientas y materiales necesitas para levantar tu primer muro de tablaroca: perfiles, tableros, tornillos, pasta y acabados.</t>
  </si>
  <si>
    <t xml:space="preserve">cómo hacer un muro de tablaroca; materiales para tablaroca; canal y poste; pasta para tablaroca; tornillos para tablaroca</t>
  </si>
  <si>
    <t xml:space="preserve">• ¿Qué necesito para hacer un muro de tablaroca?
• ¿Cuánto material necesito por metro cuadrado?
• ¿Cómo se pega la cinta en la tablaroca?</t>
  </si>
  <si>
    <t xml:space="preserve">1. Qué es el sistema de tablaroca
2. Herramientas básicas
3. Materiales: canal, poste, tablero, tornillos
4. Pasos: trazo, estructura, tablero, juntas y acabados
5. Cómo calcular materiales por m²
6. Errores que debes evitar
7. Preguntas frecuentes</t>
  </si>
  <si>
    <t xml:space="preserve">• Cálculo con medidas estándar de tablero y separación de postes
• Tabla de herramientas y materiales por etapa
• Sin imágenes: diagramas vectoriales en PDF</t>
  </si>
  <si>
    <t xml:space="preserve">Tableros, canales y postes, tornillos, pasta, cinta, espátulas, serruchos, atornilladores, niveles</t>
  </si>
  <si>
    <t xml:space="preserve">B03 · Cómo escoger la broca correcta según el material → ancla: «tipos de brocas»
B09 · Tipos de taquetes: cuál usar en tablaroca y concreto → ancla: «tipos de taquetes»
B20 · Cómo instalar un soporte de TV en la pared, nivelado → ancla: «cómo instalar soporte de tv»
B31 · Espátulas, llanas y cuñas: guía para acabados perfectos → ancla: «tipos de llanas»</t>
  </si>
  <si>
    <t xml:space="preserve">B54 · Cemento blanco, gris, mortero y yeso: diferencias → ancla: «diferencia entre cemento y mortero»
B55 · Cómo leer un flexómetro: pulgadas, fracciones y mm → ancla: «cómo leer un flexómetro»</t>
  </si>
  <si>
    <t xml:space="preserve">Descarga gratis la guía «Calculadora de materiales: 1 m² de tablaroca» al registrarte en Club 57.</t>
  </si>
  <si>
    <t xml:space="preserve">diferencias-soldadura-6013-7018-herreria</t>
  </si>
  <si>
    <t xml:space="preserve">Soldadura 6013 vs 7018: diferencias y cuándo usarlas</t>
  </si>
  <si>
    <t xml:space="preserve">Diferencias entre electrodos 6013, 7018, 6011 y otros para herrería básica: qué soldar con cada uno, corriente y seguridad.</t>
  </si>
  <si>
    <t xml:space="preserve">electrodo 6013 para qué sirve; electrodo 7018; electrodo 6011; qué soldadura usar; soldadura para herrería</t>
  </si>
  <si>
    <t xml:space="preserve">• ¿Para qué sirve el electrodo 6013?
• ¿Qué diferencia hay entre 6013 y 7018?
• ¿Qué electrodo se usa para soldar herrería?</t>
  </si>
  <si>
    <t xml:space="preserve">1. Cómo leer la nomenclatura de un electrodo
2. 6013: uso general y acabado
3. 7018: soldaduras de resistencia
4. 6011 y otros
5. Tabla: trabajo → electrodo
6. Seguridad al soldar
7. Cuidado y almacenamiento de electrodos
8. Preguntas frecuentes</t>
  </si>
  <si>
    <t xml:space="preserve">• Nomenclatura del electrodo explicada paso a paso
• Corrientes y diámetros: tomar del fabricante
• Seguridad: careta, guantes, ventilación
• Atrae a herreros y talleres</t>
  </si>
  <si>
    <t xml:space="preserve">Electrodos 6013 y 7018, caretas, guantes de carnaza, cepillos, martillos de soldador</t>
  </si>
  <si>
    <t xml:space="preserve">B03 · Cómo escoger la broca correcta según el material → ancla: «tipos de brocas»
B34 · Guantes de trabajo: nitrilo, carnaza, látex o anticorte → ancla: «guantes de trabajo»
B42 · Tornillería de acero inoxidable: grados y cuándo usarla → ancla: «tornillería de acero inoxidable»
B45 · EPP en la obra: guía del equipo de protección personal → ancla: «equipo de protección personal en obra»</t>
  </si>
  <si>
    <t xml:space="preserve">B51 · Discos de corte: diamante, abrasivo y para madera → ancla: «tipos de discos de corte»</t>
  </si>
  <si>
    <t xml:space="preserve">Descarga gratis la guía «Guía rápida de electrodos para soldadura» al registrarte en Club 57.</t>
  </si>
  <si>
    <t xml:space="preserve">candado-para-motocicleta-bicicleta-y-rejas</t>
  </si>
  <si>
    <t xml:space="preserve">Candados para moto, bicicleta y rejas: cómo elegir</t>
  </si>
  <si>
    <t xml:space="preserve">Candado de cadena, de arco o de cable: cuál elegir para motocicleta, bicicleta o reja perimetral y cómo asegurarla mejor.</t>
  </si>
  <si>
    <t xml:space="preserve">candado para bicicleta; candado de cadena; candado de disco; candado para reja; candado de perno</t>
  </si>
  <si>
    <t xml:space="preserve">• ¿Qué candado es mejor para una motocicleta?
• ¿Es seguro un candado de cable?
• ¿Qué candado se usa en una reja perimetral?</t>
  </si>
  <si>
    <t xml:space="preserve">1. Por qué el candado importa en la vía pública
2. Cadena, arco (U), cable, disco y perno
3. Qué elegir para moto, bicicleta y reja
4. Dónde y cómo asegurar tu vehículo
5. Mantenimiento
6. Preguntas frecuentes</t>
  </si>
  <si>
    <t xml:space="preserve">• Honestidad: ningún candado es infalible; combinar medidas
• Seguridad relativa por tipo de candado sin cifras inventadas
• Enlazar a anticizalla y chapas</t>
  </si>
  <si>
    <t xml:space="preserve">Candados de cadena, de arco, de disco y de perno; cadenas</t>
  </si>
  <si>
    <t xml:space="preserve">B12 · Candado anticizalla: cómo elegirlo para exterior → ancla: «candado anticizalla»
B36 · Chapa de sobreponer, embutir o alta seguridad: cuál elegir → ancla: «tipos de chapas para puerta»
B45 · EPP en la obra: guía del equipo de protección personal → ancla: «equipo de protección personal en obra»</t>
  </si>
  <si>
    <t xml:space="preserve">Descarga gratis la guía «Guía de candados: moto, bicicleta y reja» al registrarte en Club 57.</t>
  </si>
  <si>
    <t xml:space="preserve">como-usar-un-multimetro-digital-basico</t>
  </si>
  <si>
    <t xml:space="preserve">Cómo usar un multímetro: contactos, pilas y fusibles</t>
  </si>
  <si>
    <t xml:space="preserve">Aprende a usar un multímetro digital básico para medir voltaje, continuidad y resistencia; revisa contactos, pilas y fusibles con seguridad.</t>
  </si>
  <si>
    <t xml:space="preserve">multímetro digital; medir voltaje de un contacto; probar un fusible; medir una pila; medir continuidad</t>
  </si>
  <si>
    <t xml:space="preserve">• ¿Cómo se mide el voltaje de un contacto?
• ¿Cómo se prueba un fusible con multímetro?
• ¿Qué significan los símbolos del multímetro?</t>
  </si>
  <si>
    <t xml:space="preserve">1. Qué mide un multímetro
2. Partes y símbolos
3. Cómo medir voltaje en pilas y contactos
4. Continuidad: fusibles, cables e interruptores
5. Resistencia
6. Seguridad: puntas, rango y categoría
7. Errores comunes
8. Preguntas frecuentes</t>
  </si>
  <si>
    <t xml:space="preserve">• Seguridad en mediciones en CA: aviso explícito; no medir corriente sin conocimiento
• Categorías de seguridad del multímetro: solo con ficha
• Reduce devoluciones por 'aparatos quemados'</t>
  </si>
  <si>
    <t xml:space="preserve">Multímetros digitales, puntas, probadores de voltaje, fusibles, pilas</t>
  </si>
  <si>
    <t xml:space="preserve">B02 · Herramientas básicas para el hogar: las 15 esenciales → ancla: «herramientas básicas para el hogar»
B05 · Calibre de cable eléctrico para cada electrodoméstico → ancla: «calibre de cable para casa»
B15 · Diablitos y falsos contactos: riesgos de tu instalación → ancla: «diablito eléctrico peligro»
B16 · Conectores eléctricos: capuchones, regletas y cinta → ancla: «conectores eléctricos»
B38 · Cómo cambiar una pastilla termomagnética con seguridad → ancla: «pastilla termomagnética»</t>
  </si>
  <si>
    <t xml:space="preserve">Descarga gratis la guía «Lecturas básicas de multímetro para el hogar» al registrarte en Club 57.</t>
  </si>
  <si>
    <t xml:space="preserve">tipos-de-discos-de-corte-diamante-abrasivo-sierra</t>
  </si>
  <si>
    <t xml:space="preserve">Discos de corte: diamante, abrasivo y para madera</t>
  </si>
  <si>
    <t xml:space="preserve">Qué disco usar para cortar concreto, metal o madera, y por qué nunca debes usar un disco dentado en una esmeriladora. Guía de seguridad.</t>
  </si>
  <si>
    <t xml:space="preserve">disco de diamante; disco abrasivo; disco para esmeriladora; disco de sierra circular; cuál disco usar</t>
  </si>
  <si>
    <t xml:space="preserve">• ¿Qué disco se usa para cortar concreto?
• ¿Se puede usar un disco de sierra en una esmeriladora?
• ¿Cómo sé si un disco es compatible con mi herramienta?</t>
  </si>
  <si>
    <t xml:space="preserve">1. Por qué el disco correcto es cuestión de seguridad
2. Disco de diamante: concreto, mampostería y cerámica
3. Disco abrasivo: metal e inoxidable
4. Disco de sierra: madera y sierra circular
5. El error que causa accidentes graves
6. Diámetro, eje y RPM máximas
7. Equipo de protección
8. Preguntas frecuentes</t>
  </si>
  <si>
    <t xml:space="preserve">• Prohibido recomendar usar discos dentados de madera en esmeriladoras angulares
• RPM máximas y diámetro: seguir el marcaje del disco
• Enlazar a EPP y guantes</t>
  </si>
  <si>
    <t xml:space="preserve">Discos de diamante, abrasivos, de sierra; esmeriladoras; EPP</t>
  </si>
  <si>
    <t xml:space="preserve">B02 · Herramientas básicas para el hogar: las 15 esenciales → ancla: «herramientas básicas para el hogar»
B34 · Guantes de trabajo: nitrilo, carnaza, látex o anticorte → ancla: «guantes de trabajo»
B42 · Tornillería de acero inoxidable: grados y cuándo usarla → ancla: «tornillería de acero inoxidable»
B45 · EPP en la obra: guía del equipo de protección personal → ancla: «equipo de protección personal en obra»
B48 · Soldadura 6013 vs 7018: diferencias y cuándo usarlas → ancla: «soldadura 6013 y 7018»</t>
  </si>
  <si>
    <t xml:space="preserve">B53 · Mantenimiento de herramientas eléctricas: más vida útil → ancla: «mantenimiento de herramientas eléctricas»</t>
  </si>
  <si>
    <t xml:space="preserve">Descarga gratis la guía «Tabla de seguridad: discos de corte» al registrarte en Club 57.</t>
  </si>
  <si>
    <t xml:space="preserve">mangueras-industriales-de-aire-y-agua-vs-jardin</t>
  </si>
  <si>
    <t xml:space="preserve">Mangueras industriales de aire y agua vs de jardín</t>
  </si>
  <si>
    <t xml:space="preserve">Diferencias entre mangueras industriales de aire y agua y mangueras de jardín: presión, refuerzo, resistencia y cuál conviene en taller o lavado.</t>
  </si>
  <si>
    <t xml:space="preserve">manguera para compresor; manguera de alta presión; manguera para lavado de autos; presión de trabajo manguera; acoples rápidos</t>
  </si>
  <si>
    <t xml:space="preserve">• ¿Qué manguera se usa para un compresor de aire?
• ¿Se puede usar una manguera de jardín en un taller?
• ¿Qué significa presión de trabajo en una manguera?</t>
  </si>
  <si>
    <t xml:space="preserve">1. Qué hace distinta a una manguera industrial
2. Presión de trabajo y refuerzo
3. Materiales y resistencia (sol, aceites, abrasión)
4. Aire vs agua: diferencias
5. Conexiones y acoples
6. Cómo elegir para taller, lavado de autos o fábrica
7. Mantenimiento
8. Preguntas frecuentes</t>
  </si>
  <si>
    <t xml:space="preserve">• Presión de trabajo y factor de seguridad: respaldar con ficha
• Enfocar a talleres, lavados de autos y fábricas pequeñas
• Enlazar a EPP</t>
  </si>
  <si>
    <t xml:space="preserve">Mangueras de aire, de agua industrial, acoples rápidos, abrazaderas</t>
  </si>
  <si>
    <t xml:space="preserve">B18 · Bomba de agua: periférica o centrífuga, cómo elegir → ancla: «bomba de agua para casa»
B19 · 10 herramientas para iniciar tu negocio de plomería → ancla: «herramientas de plomero»
B42 · Tornillería de acero inoxidable: grados y cuándo usarla → ancla: «tornillería de acero inoxidable»
B45 · EPP en la obra: guía del equipo de protección personal → ancla: «equipo de protección personal en obra»</t>
  </si>
  <si>
    <t xml:space="preserve">B57 · Herramientas para preparar tu jardín en primavera → ancla: «herramientas de jardinería»</t>
  </si>
  <si>
    <t xml:space="preserve">Talleres y negocios de la región.</t>
  </si>
  <si>
    <t xml:space="preserve">Descarga gratis la guía «Tabla de selección de mangueras industriales» al registrarte en Club 57.</t>
  </si>
  <si>
    <t xml:space="preserve">mantenimiento-basico-herramientas-electricas</t>
  </si>
  <si>
    <t xml:space="preserve">Mantenimiento de herramientas eléctricas: más vida útil</t>
  </si>
  <si>
    <t xml:space="preserve">Cómo limpiar, revisar y guardar tus herramientas eléctricas (taladros, esmeriladoras, caladoras) para que duren más y trabajen mejor.</t>
  </si>
  <si>
    <t xml:space="preserve">cuidado del taladro; limpiar esmeriladora; cambiar carbones; baterías de litio cuidado; cómo guardar herramientas</t>
  </si>
  <si>
    <t xml:space="preserve">• ¿Cada cuánto debo dar mantenimiento a mi taladro?
• ¿Cómo cuido la batería de mis herramientas?
• ¿Qué son los carbones de un taladro?</t>
  </si>
  <si>
    <t xml:space="preserve">1. Por qué conviene dar mantenimiento
2. Limpieza después de cada uso
3. Revisa cables, clavijas y carcasas
4. Carbones y ventilación
5. Accesorios: brocas, discos y cuchillas
6. Baterías: carga y almacenamiento
7. Cómo guardarlas
8. Calendario de mantenimiento</t>
  </si>
  <si>
    <t xml:space="preserve">• Seguridad: desconectar siempre antes de limpiar
• Baterías: seguir recomendaciones del fabricante
• Genera lealtad: ferretería como experta que cuida al cliente</t>
  </si>
  <si>
    <t xml:space="preserve">Aire comprimido o sopladores, lubricantes, brocas, discos, carbones de repuesto</t>
  </si>
  <si>
    <t xml:space="preserve">B02 · Herramientas básicas para el hogar: las 15 esenciales → ancla: «herramientas básicas para el hogar»
B03 · Cómo escoger la broca correcta según el material → ancla: «tipos de brocas»
B26 · Cómo quitar el óxido de herramientas y metales → ancla: «cómo quitar el óxido»
B51 · Discos de corte: diamante, abrasivo y para madera → ancla: «tipos de discos de corte»</t>
  </si>
  <si>
    <t xml:space="preserve">B56 · Guía de lijas: qué grano usar en madera, metal y agua → ancla: «tipos de lijas»</t>
  </si>
  <si>
    <t xml:space="preserve">Descarga gratis la guía «Calendario de mantenimiento de herramientas eléctricas» al registrarte en Club 57.</t>
  </si>
  <si>
    <t xml:space="preserve">diferencia-cemento-blanco-gris-mortero-yeso</t>
  </si>
  <si>
    <t xml:space="preserve">Cemento blanco, gris, mortero y yeso: diferencias</t>
  </si>
  <si>
    <t xml:space="preserve">Qué es cada material y para qué se usa: cemento gris, cemento blanco, mortero y yeso. Evita errores en reparaciones pequeñas.</t>
  </si>
  <si>
    <t xml:space="preserve">cemento blanco para qué sirve; mortero o cemento; yeso para qué sirve; cuándo usar cemento gris; cemento para resanar</t>
  </si>
  <si>
    <t xml:space="preserve">• ¿Qué diferencia hay entre cemento y mortero?
• ¿Para qué sirve el cemento blanco?
• ¿Se puede usar yeso en exteriores?</t>
  </si>
  <si>
    <t xml:space="preserve">1. Cuatro materiales, cuatro usos
2. Cemento gris
3. Cemento blanco
4. Mortero
5. Yeso
6. Tabla: reparación → material
7. Mezcla, fraguado y curado básico
8. Errores comunes
9. Preguntas frecuentes</t>
  </si>
  <si>
    <t xml:space="preserve">• Proporciones: solo con ficha del producto
• Yeso: aclarar uso interior y limitaciones de humedad
• Conocimiento fundamental para mostrador nuevo</t>
  </si>
  <si>
    <t xml:space="preserve">Cemento gris y blanco, mortero, yeso, herramientas de albañilería</t>
  </si>
  <si>
    <t xml:space="preserve">B03 · Cómo escoger la broca correcta según el material → ancla: «tipos de brocas»
B06 · Salitre y humedad en muros en Querétaro: cómo evitarlos → ancla: «salitre en paredes»
B31 · Espátulas, llanas y cuñas: guía para acabados perfectos → ancla: «tipos de llanas»
B47 · Herramientas para tablaroca: tu primer muro falso → ancla: «herramientas para tablaroca»</t>
  </si>
  <si>
    <t xml:space="preserve">Descarga gratis la guía «Guía rápida de materiales de albañilería» al registrarte en Club 57.</t>
  </si>
  <si>
    <t xml:space="preserve">como-leer-un-flexometro-fracciones-de-pulgada-y-milimetros</t>
  </si>
  <si>
    <t xml:space="preserve">Cómo leer un flexómetro: pulgadas, fracciones y mm</t>
  </si>
  <si>
    <t xml:space="preserve">Aprende a leer las fracciones de pulgada y los milímetros en un flexómetro, para medir con precisión y evitar errores al comprar o instalar.</t>
  </si>
  <si>
    <t xml:space="preserve">fracciones de pulgada; leer cinta métrica; flexómetro en pulgadas; convertir pulgadas a milímetros; marcas en el flexómetro</t>
  </si>
  <si>
    <t xml:space="preserve">• ¿Cómo se lee un flexómetro en pulgadas?
• ¿Qué significan las marcas negras de un flexómetro?
• ¿Cómo convierto pulgadas a milímetros?</t>
  </si>
  <si>
    <t xml:space="preserve">1. Partes de un flexómetro
2. Leer centímetros y milímetros
3. Leer pulgadas y fracciones
4. Marcas especiales (16 pulgadas, 19.2 pulgadas)
5. Cómo medir con precisión (punta móvil, bloqueo)
6. Cómo elegir un flexómetro
7. Preguntas frecuentes</t>
  </si>
  <si>
    <t xml:space="preserve">• Conversión exacta: 1 pulgada = 25.4 mm
• Describir las marcas especiales de forma general
• PDF con tabla completa de conversión para tener en el celular</t>
  </si>
  <si>
    <t xml:space="preserve">Flexómetros, cintas métricas, niveles, escuadras</t>
  </si>
  <si>
    <t xml:space="preserve">B02 · Herramientas básicas para el hogar: las 15 esenciales → ancla: «herramientas básicas para el hogar»
B20 · Cómo instalar un soporte de TV en la pared, nivelado → ancla: «cómo instalar soporte de tv»
B35 · Herramientas para la cajuela del auto en emergencias → ancla: «kit de emergencia para auto»
B46 · Llaves y dados: medida milimétrica vs pulgadas → ancla: «llaves milimétricas vs estándar»
B47 · Herramientas para tablaroca: tu primer muro falso → ancla: «herramientas para tablaroca»</t>
  </si>
  <si>
    <t xml:space="preserve">Descarga gratis la guía «Tabla de conversión: milímetros y pulgadas» al registrarte en Club 57.</t>
  </si>
  <si>
    <t xml:space="preserve">guia-de-lijas-que-grano-usar-madera-metal-agua</t>
  </si>
  <si>
    <t xml:space="preserve">Guía de lijas: qué grano usar en madera, metal y agua</t>
  </si>
  <si>
    <t xml:space="preserve">Qué lija usar y en qué orden de granos para madera, metal o pintura: lijas al agua y secas, con tabla de granos y consejos.</t>
  </si>
  <si>
    <t xml:space="preserve">qué grano de lija usar; lija de agua; lija para madera; lija para metal; numeración de lijas</t>
  </si>
  <si>
    <t xml:space="preserve">• ¿Qué número de lija uso para madera?
• ¿Cuál es la diferencia entre lija seca y lija de agua?
• ¿En qué orden se usan las lijas?</t>
  </si>
  <si>
    <t xml:space="preserve">1. Qué significa el número de grano
2. Lijas para madera
3. Lijas para metal
4. Lijas al agua y acabados automotrices
5. Secuencia de granos paso a paso
6. Cómo lijar bien (bloque, presión, polvo)
7. Seguridad
8. Preguntas frecuentes</t>
  </si>
  <si>
    <t xml:space="preserve">• Tabla grano → uso, con secuencia
• Granos exactos: con empaques reales del catálogo
• Complementa pegamentos, pintura y óxido</t>
  </si>
  <si>
    <t xml:space="preserve">Lijas secas y de agua, tacos de lijado, lijadoras, mascarillas</t>
  </si>
  <si>
    <t xml:space="preserve">B02 · Herramientas básicas para el hogar: las 15 esenciales → ancla: «herramientas básicas para el hogar»
B03 · Cómo escoger la broca correcta según el material → ancla: «tipos de brocas»
B08 · Brocha o rodillo: cuál usar con pintura vinílica o esmalte → ancla: «brocha o rodillo»
B26 · Cómo quitar el óxido de herramientas y metales → ancla: «cómo quitar el óxido»
B28 · Tipos de pegamentos: contacto, epóxico y cianoacrilato → ancla: «tipos de pegamentos»
B53 · Mantenimiento de herramientas eléctricas: más vida útil → ancla: «mantenimiento de herramientas eléctricas»</t>
  </si>
  <si>
    <t xml:space="preserve">Descarga gratis la guía «Tabla de lijas: granos y secuencias» al registrarte en Club 57.</t>
  </si>
  <si>
    <t xml:space="preserve">herramientas-manuales-para-preparar-jardin-en-primavera</t>
  </si>
  <si>
    <t xml:space="preserve">Herramientas para preparar tu jardín en primavera</t>
  </si>
  <si>
    <t xml:space="preserve">Qué herramientas manuales necesitas para preparar tu jardín o patio en primavera: podar, remover tierra, regar y fertilizar.</t>
  </si>
  <si>
    <t xml:space="preserve">tijeras de podar; pala y rastrillo; aspersores y mangueras; fertilizantes; cómo preparar el jardín en primavera</t>
  </si>
  <si>
    <t xml:space="preserve">• ¿Qué herramientas básicas necesito para mi jardín?
• ¿Qué tijera de podar conviene?
• ¿Cuándo es mejor fertilizar?</t>
  </si>
  <si>
    <t xml:space="preserve">1. Planea el jardín
2. Herramientas para remover tierra
3. Poda: tijeras y serruchos
4. Riego: mangueras y aspersores
5. Fertilizantes y cuidados
6. Mantenimiento de herramientas
7. Preguntas frecuentes</t>
  </si>
  <si>
    <t xml:space="preserve">• Publicar en febrero–marzo 2027
• Sin recomendaciones agronómicas específicas
• Estacional para rotación de inventario</t>
  </si>
  <si>
    <t xml:space="preserve">Tijeras de podar, palas, rastrillos, mangueras, aspersores, guantes de jardín</t>
  </si>
  <si>
    <t xml:space="preserve">B02 · Herramientas básicas para el hogar: las 15 esenciales → ancla: «herramientas básicas para el hogar»
B34 · Guantes de trabajo: nitrilo, carnaza, látex o anticorte → ancla: «guantes de trabajo»
B52 · Mangueras industriales de aire y agua vs de jardín → ancla: «manguera industrial»</t>
  </si>
  <si>
    <t xml:space="preserve">Descarga gratis la guía «Calendario de jardín: primavera» al registrarte en Club 57.</t>
  </si>
  <si>
    <t xml:space="preserve">impermeabilizante-acrilico-vs-manto-prefabricado</t>
  </si>
  <si>
    <t xml:space="preserve">Impermeabilizante acrílico vs manto: cuál conviene</t>
  </si>
  <si>
    <t xml:space="preserve">Compara impermeabilizantes acrílicos y prefabricados (manto): costo, duración, aplicación y mantenimiento para tu azotea.</t>
  </si>
  <si>
    <t xml:space="preserve">tipos de impermeabilizante; impermeabilizante para azotea; manto asfáltico; cuánto dura un impermeabilizante; cómo impermeabilizar una losa</t>
  </si>
  <si>
    <t xml:space="preserve">• ¿Qué es mejor, impermeabilizante acrílico o manto?
• ¿Cuánto dura un impermeabilizante?
• ¿Cómo se prepara la azotea antes de impermeabilizar?</t>
  </si>
  <si>
    <t xml:space="preserve">1. Por qué impermeabilizar
2. Acrílico: cómo funciona
3. Manto prefabricado: cómo funciona
4. Comparación: costo, duración, aplicación, mantenimiento
5. Preparación de la azotea
6. Cuándo conviene cada uno
7. Preguntas frecuentes</t>
  </si>
  <si>
    <t xml:space="preserve">• Publicar en marzo 2027, antes de la temporada de lluvias
• Duración: solo con garantía del fabricante
• Enlazar a salitre y cálculo de pintura/ impermeabilizante</t>
  </si>
  <si>
    <t xml:space="preserve">Impermeabilizantes acrílicos, mantos, reforzantes, selladores, brochas y rodillos</t>
  </si>
  <si>
    <t xml:space="preserve">B06 · Salitre y humedad en muros en Querétaro: cómo evitarlos → ancla: «salitre en paredes»
B08 · Brocha o rodillo: cuál usar con pintura vinílica o esmalte → ancla: «brocha o rodillo»
B24 · Cómo calcular cuánta pintura o impermeabilizante necesitas → ancla: «cómo calcular pintura»
B30 · Silicón, sellador acrílico y poliuretano: diferencias → ancla: «diferencia entre silicón y sellador acrílico»</t>
  </si>
  <si>
    <t xml:space="preserve">Descarga gratis la guía «Guía de impermeabilización de azotea» al registrarte en Club 57.</t>
  </si>
  <si>
    <t xml:space="preserve">Artículo (H1)</t>
  </si>
  <si>
    <t xml:space="preserve">Título de la guía</t>
  </si>
  <si>
    <t xml:space="preserve">Nombre de archivo</t>
  </si>
  <si>
    <t xml:space="preserve">Formato</t>
  </si>
  <si>
    <t xml:space="preserve">Páginas</t>
  </si>
  <si>
    <t xml:space="preserve">Contenido por página</t>
  </si>
  <si>
    <t xml:space="preserve">Regla de redacción</t>
  </si>
  <si>
    <t xml:space="preserve">Texto de entrega (Club 57)</t>
  </si>
  <si>
    <t xml:space="preserve">Estado PDF</t>
  </si>
  <si>
    <t xml:space="preserve">guia-marcas-truper-pretul-foset-volteck-guia.pdf</t>
  </si>
  <si>
    <t xml:space="preserve">Tabla comparativa + criterios de decisión</t>
  </si>
  <si>
    <t xml:space="preserve">Pág. 1: las 7 marcas en una tabla (línea, para quién, ejemplo de producto). Pág. 2: 'Elige en 3 preguntas' (frecuencia de uso, exigencia, presupuesto) y tabla tarea→marca sugerida.</t>
  </si>
  <si>
    <t xml:space="preserve">Tu guía «Guía de marcas Truper: cuál elegir según tu trabajo» ya está disponible en tu cuenta de Club 57.</t>
  </si>
  <si>
    <t xml:space="preserve">Pendiente</t>
  </si>
  <si>
    <t xml:space="preserve">guia-kit-basico-herramientas-hogar.pdf</t>
  </si>
  <si>
    <t xml:space="preserve">Checklist imprimible en 3 niveles</t>
  </si>
  <si>
    <t xml:space="preserve">Pág. 1: checklist de las 15 herramientas con casillas, por nivel. Pág. 2: 'qué buscar al comprar' (1 línea por herramienta) y espacio para anotar medidas de la casa.</t>
  </si>
  <si>
    <t xml:space="preserve">Tu guía «Checklist: caja de herramientas básica del hogar» ya está disponible en tu cuenta de Club 57.</t>
  </si>
  <si>
    <t xml:space="preserve">guia-como-escoger-broca-correcta-para-cada-material.pdf</t>
  </si>
  <si>
    <t xml:space="preserve">Tabla de consulta rápida</t>
  </si>
  <si>
    <t xml:space="preserve">1 página tipo cartel: matriz Material × Broca × Taquete × Tornillo × Consejo; recuadro 'Antes de taladrar' (marcar, detector de tubos/cables, velocidad).</t>
  </si>
  <si>
    <t xml:space="preserve">Tu guía «Tabla rápida: broca, taquete y tornillo por material» ya está disponible en tu cuenta de Club 57.</t>
  </si>
  <si>
    <t xml:space="preserve">guia-diferencias-tuberia-ppr-pvc-cpvc-cobre.pdf</t>
  </si>
  <si>
    <t xml:space="preserve">Tabla comparativa + árbol de decisión</t>
  </si>
  <si>
    <t xml:space="preserve">Pág. 1: tabla comparativa (uso, temperatura, unión, herramienta, costo relativo). Pág. 2: árbol de decisión '¿qué tubería uso?' en texto y flechas vectoriales + lista de materiales por tipo de unión.</t>
  </si>
  <si>
    <t xml:space="preserve">Tu guía «Comparador de tuberías: PPR, PVC, CPVC y cobre» ya está disponible en tu cuenta de Club 57.</t>
  </si>
  <si>
    <t xml:space="preserve">guia-calibre-de-cable-electrico-para-cada-electrodomestico.pdf</t>
  </si>
  <si>
    <t xml:space="preserve">Tabla de consulta + ejemplo de cálculo</t>
  </si>
  <si>
    <t xml:space="preserve">Pág. 1: tabla orientativa calibre ↔ amperes ↔ usos comunes. Pág. 2: cálculo paso a paso (watts→amperes→calibre) con 3 ejemplos y aviso de seguridad.</t>
  </si>
  <si>
    <t xml:space="preserve">Tu guía «Tabla de calibres: qué cable para cada aparato» ya está disponible en tu cuenta de Club 57.</t>
  </si>
  <si>
    <t xml:space="preserve">guia-salitre-y-humedad-en-muros-queretaro.pdf</t>
  </si>
  <si>
    <t xml:space="preserve">Guía de diagnóstico + checklist</t>
  </si>
  <si>
    <t xml:space="preserve">Pág. 1: diagnóstico (¿salitre, moho o fuga?) en preguntas sí/no. Pág. 2: checklist de reparación paso a paso con materiales y tiempos de secado.</t>
  </si>
  <si>
    <t xml:space="preserve">Tu guía «Guía visual: salitre y humedad, diagnóstico y reparación» ya está disponible en tu cuenta de Club 57.</t>
  </si>
  <si>
    <t xml:space="preserve">guia-instalar-tinaco-o-cisterna-queretaro.pdf</t>
  </si>
  <si>
    <t xml:space="preserve">Checklist + mini calculadora en papel</t>
  </si>
  <si>
    <t xml:space="preserve">Pág. 1: cálculo de capacidad (tabla por personas) y lista de componentes. Pág. 2: checklist de instalación y de limpieza semestral.</t>
  </si>
  <si>
    <t xml:space="preserve">Tu guía «Checklist de instalación de tinaco o cisterna» ya está disponible en tu cuenta de Club 57.</t>
  </si>
  <si>
    <t xml:space="preserve">guia-brocha-o-rodillo-segun-pintura-vinilica-esmalte.pdf</t>
  </si>
  <si>
    <t xml:space="preserve">Tabla de decisión</t>
  </si>
  <si>
    <t xml:space="preserve">1 página: tabla Superficie × Tipo de pintura × Herramienta × Consejo; checklist de materiales para pintar un cuarto.</t>
  </si>
  <si>
    <t xml:space="preserve">Tu guía «Guía rápida: qué herramienta usar según tu pintura» ya está disponible en tu cuenta de Club 57.</t>
  </si>
  <si>
    <t xml:space="preserve">guia-tipos-de-taquetes-tablaroca-concreto-ladrillo-hueco.pdf</t>
  </si>
  <si>
    <t xml:space="preserve">Tabla de consulta + checklist de instalación</t>
  </si>
  <si>
    <t xml:space="preserve">1 página: tabla Tipo de muro × Taquete × Broca × Tornillo × Uso; checklist de 6 pasos de instalación; recuadro 'No cuelgues esto con taquete de plástico'.</t>
  </si>
  <si>
    <t xml:space="preserve">Tu guía «Guía de taquetes por tipo de muro» ya está disponible en tu cuenta de Club 57.</t>
  </si>
  <si>
    <t xml:space="preserve">guia-club-57-como-ganar-puntos-ferreteria-57.pdf</t>
  </si>
  <si>
    <t xml:space="preserve">Guía rápida de bienvenida</t>
  </si>
  <si>
    <t xml:space="preserve">Pág. 1: cómo funciona Club 57 (ganar, esperar, canjear, referir) con ejemplo numérico. Pág. 2: índice de guías PDF disponibles y cómo acceder a las promociones de miembros.</t>
  </si>
  <si>
    <t xml:space="preserve">Tu guía «Guía de bienvenida a Club 57» ya está disponible en tu cuenta de Club 57.</t>
  </si>
  <si>
    <t xml:space="preserve">guia-como-destapar-tuberia-lavabo-sin-danar-pvc.pdf</t>
  </si>
  <si>
    <t xml:space="preserve">Guía de pasos + checklist de materiales</t>
  </si>
  <si>
    <t xml:space="preserve">1 página: árbol de decisión (¿qué intento primero?), pasos de cada método y recuadro de seguridad con químicos.</t>
  </si>
  <si>
    <t xml:space="preserve">Tu guía «Guía de emergencia: lavabo tapado» ya está disponible en tu cuenta de Club 57.</t>
  </si>
  <si>
    <t xml:space="preserve">guia-como-elegir-candado-anticizalla-exteriores-cortinas.pdf</t>
  </si>
  <si>
    <t xml:space="preserve">Checklist de auditoría</t>
  </si>
  <si>
    <t xml:space="preserve">Pág. 1: checklist de 20 puntos (accesos, candados, iluminación, cortinas, rutinas). Pág. 2: guía de selección de candado por uso y plan de mejora priorizado.</t>
  </si>
  <si>
    <t xml:space="preserve">Tu guía «Auditoría de seguridad básica para casa o negocio» ya está disponible en tu cuenta de Club 57.</t>
  </si>
  <si>
    <t xml:space="preserve">guia-cinta-teflon-que-es-para-que-sirve-como-aplicarla.pdf</t>
  </si>
  <si>
    <t xml:space="preserve">Infografía vectorial 1 página</t>
  </si>
  <si>
    <t xml:space="preserve">1 página tipo infografía: pasos 1-5 con esquema vectorial del sentido de enrollado, 'sí / no' de uso y errores comunes.</t>
  </si>
  <si>
    <t xml:space="preserve">Tu guía «Plomería básica visual: guía de cinta teflón y sellado de roscas» ya está disponible en tu cuenta de Club 57.</t>
  </si>
  <si>
    <t xml:space="preserve">guia-mantenimiento-calentador-solar-antes-del-frio.pdf</t>
  </si>
  <si>
    <t xml:space="preserve">Calendario + checklist</t>
  </si>
  <si>
    <t xml:space="preserve">1 página: calendario por trimestre y checklist de revisión (con espacio para fecha de última revisión).</t>
  </si>
  <si>
    <t xml:space="preserve">Tu guía «Calendario anual de mantenimiento del calentador solar» ya está disponible en tu cuenta de Club 57.</t>
  </si>
  <si>
    <t xml:space="preserve">guia-peligro-diablitos-y-falsos-contactos-instalacion-electrica.pdf</t>
  </si>
  <si>
    <t xml:space="preserve">Checklist de revisión</t>
  </si>
  <si>
    <t xml:space="preserve">Pág. 1: señales de alerta en 15 puntos. Pág. 2: prioridades de actualización y cuándo llamar a un electricista.</t>
  </si>
  <si>
    <t xml:space="preserve">Tu guía «Señales de alerta en tu instalación eléctrica» ya está disponible en tu cuenta de Club 57.</t>
  </si>
  <si>
    <t xml:space="preserve">guia-conectores-electricos-capuchones-cinta-aislar-regletas.pdf</t>
  </si>
  <si>
    <t xml:space="preserve">1 página: tabla Calibre × Aplicación × Conector, pasos de un empalme seguro y checklist de herramientas.</t>
  </si>
  <si>
    <t xml:space="preserve">Tu guía «Guía rápida de empalmes y conectores» ya está disponible en tu cuenta de Club 57.</t>
  </si>
  <si>
    <t xml:space="preserve">guia-como-purgar-boiler-calentador-de-agua-sarro.pdf</t>
  </si>
  <si>
    <t xml:space="preserve">Checklist + calendario</t>
  </si>
  <si>
    <t xml:space="preserve">1 página: checklist de purga en 8 pasos y calendario anual con espacios de fecha.</t>
  </si>
  <si>
    <t xml:space="preserve">Tu guía «Calendario y checklist de mantenimiento del boiler» ya está disponible en tu cuenta de Club 57.</t>
  </si>
  <si>
    <t xml:space="preserve">guia-como-elegir-bomba-de-agua-periferica-centrifuga.pdf</t>
  </si>
  <si>
    <t xml:space="preserve">Tabla + cuestionario de selección</t>
  </si>
  <si>
    <t xml:space="preserve">Pág. 1: cuestionario (pisos, distancia, altura, uso) y tabla orientativa. Pág. 2: checklist de instalación y errores comunes.</t>
  </si>
  <si>
    <t xml:space="preserve">Tu guía «Guía de selección de bomba de agua» ya está disponible en tu cuenta de Club 57.</t>
  </si>
  <si>
    <t xml:space="preserve">guia-herramientas-esenciales-para-iniciar-negocio-de-plomeria.pdf</t>
  </si>
  <si>
    <t xml:space="preserve">Checklist imprimible</t>
  </si>
  <si>
    <t xml:space="preserve">Pág. 1: checklist de las 10 herramientas y consumibles. Pág. 2: plan de inversión por etapa y espacio para notas.</t>
  </si>
  <si>
    <t xml:space="preserve">Tu guía «Checklist inicial: caja de herramientas del plomero» ya está disponible en tu cuenta de Club 57.</t>
  </si>
  <si>
    <t xml:space="preserve">guia-como-instalar-soporte-de-tv-en-la-pared.pdf</t>
  </si>
  <si>
    <t xml:space="preserve">Checklist + guía de altura</t>
  </si>
  <si>
    <t xml:space="preserve">1 página: checklist de materiales, pasos numerados, tabla de altura sugerida según tamaño de pantalla y recuadro de seguridad.</t>
  </si>
  <si>
    <t xml:space="preserve">Tu guía «Checklist para instalar tu TV en la pared» ya está disponible en tu cuenta de Club 57.</t>
  </si>
  <si>
    <t xml:space="preserve">guia-focos-led-vs-ahorradores-lumenes-watts-temperatura-color.pdf</t>
  </si>
  <si>
    <t xml:space="preserve">Tabla de consulta + calculadora de ahorro</t>
  </si>
  <si>
    <t xml:space="preserve">1 página: tabla Espacio × Lúmenes × Color y mini calculadora de ahorro con espacios para llenar.</t>
  </si>
  <si>
    <t xml:space="preserve">Tu guía «Guía de iluminación: qué foco poner en cada espacio» ya está disponible en tu cuenta de Club 57.</t>
  </si>
  <si>
    <t xml:space="preserve">guia-que-hacer-en-caso-de-fuga-de-gas-en-casa.pdf</t>
  </si>
  <si>
    <t xml:space="preserve">Guía de emergencia imprimible</t>
  </si>
  <si>
    <t xml:space="preserve">1 página: 'Qué hacer / qué NO hacer', contactos de emergencia para llenar y checklist mensual de revisión.</t>
  </si>
  <si>
    <t xml:space="preserve">Tu guía «Plan de acción: fuga de gas en casa» ya está disponible en tu cuenta de Club 57.</t>
  </si>
  <si>
    <t xml:space="preserve">guia-por-que-baja-la-presion-del-agua-en-la-regadera.pdf</t>
  </si>
  <si>
    <t xml:space="preserve">Diagrama de flujo + checklist</t>
  </si>
  <si>
    <t xml:space="preserve">1 página: diagrama de flujo de diagnóstico (preguntas sí/no) y lista de materiales por causa.</t>
  </si>
  <si>
    <t xml:space="preserve">Tu guía «Diagnóstico: poca presión de agua en casa» ya está disponible en tu cuenta de Club 57.</t>
  </si>
  <si>
    <t xml:space="preserve">guia-como-calcular-cuanta-pintura-o-impermeabilizante-necesitas.pdf</t>
  </si>
  <si>
    <t xml:space="preserve">Hoja de cálculo con campos</t>
  </si>
  <si>
    <t xml:space="preserve">1 página: formulario paso a paso con casillas para medidas, manos, rendimiento y merma, y dos ejemplos resueltos.</t>
  </si>
  <si>
    <t xml:space="preserve">Tu guía «Hoja de cálculo imprimible: pintura e impermeabilizante» ya está disponible en tu cuenta de Club 57.</t>
  </si>
  <si>
    <t xml:space="preserve">guia-para-que-sirve-cada-tipo-de-pinza.pdf</t>
  </si>
  <si>
    <t xml:space="preserve">Tabla de consulta</t>
  </si>
  <si>
    <t xml:space="preserve">1 página: tabla Tarea × Pinza × Cómo sujetar × Errores; sección 'cuidado y mantenimiento'.</t>
  </si>
  <si>
    <t xml:space="preserve">Tu guía «Guía rápida: qué pinza usar para cada tarea» ya está disponible en tu cuenta de Club 57.</t>
  </si>
  <si>
    <t xml:space="preserve">guia-como-quitar-el-oxido-de-herramientas-candados-y-metales.pdf</t>
  </si>
  <si>
    <t xml:space="preserve">Árbol de decisión + checklist</t>
  </si>
  <si>
    <t xml:space="preserve">1 página: árbol de decisión por nivel de óxido, lista de materiales y calendario de prevención.</t>
  </si>
  <si>
    <t xml:space="preserve">Tu guía «Guía rápida: elimina y previene el óxido» ya está disponible en tu cuenta de Club 57.</t>
  </si>
  <si>
    <t xml:space="preserve">guia-control-de-inventarios-ferreteria-robo-hormiga-quiebres-stock.pdf</t>
  </si>
  <si>
    <t xml:space="preserve">Plantilla imprimible</t>
  </si>
  <si>
    <t xml:space="preserve">Pág. 1: plantilla de conteo cíclico (SKU, ubicación, sistema, físico, diferencia). Pág. 2: cálculo del punto de reorden y clasificación ABC con ejemplo.</t>
  </si>
  <si>
    <t xml:space="preserve">Tu guía «Plantilla de conteo cíclico y punto de reorden» ya está disponible en tu cuenta de Club 57.</t>
  </si>
  <si>
    <t xml:space="preserve">guia-tipos-de-pegamentos-y-adhesivos-contacto-epoxico-cianoacrilato.pdf</t>
  </si>
  <si>
    <t xml:space="preserve">1 página: matriz Material A × Material B × Adhesivo × Preparación × Tiempo.</t>
  </si>
  <si>
    <t xml:space="preserve">Tu guía «Tabla de adhesivos: qué pegamento para cada material» ya está disponible en tu cuenta de Club 57.</t>
  </si>
  <si>
    <t xml:space="preserve">guia-como-cambiar-sapo-valvula-herrajes-tanque-escusado.pdf</t>
  </si>
  <si>
    <t xml:space="preserve">Guía de pasos</t>
  </si>
  <si>
    <t xml:space="preserve">1 página: diagrama vectorial de componentes, prueba de fuga en 3 pasos y lista de refacciones.</t>
  </si>
  <si>
    <t xml:space="preserve">Tu guía «Guía de reparación del tanque del escusado» ya está disponible en tu cuenta de Club 57.</t>
  </si>
  <si>
    <t xml:space="preserve">guia-diferencias-silicon-sellador-acrilico-poliuretano.pdf</t>
  </si>
  <si>
    <t xml:space="preserve">1 página: tabla Aplicación × Sellador × ¿Se pinta? × Preparación; pasos de aplicación.</t>
  </si>
  <si>
    <t xml:space="preserve">Tu guía «Guía de selección de selladores» ya está disponible en tu cuenta de Club 57.</t>
  </si>
  <si>
    <t xml:space="preserve">guia-guia-de-espatulas-cunas-y-llanas-acabados-construccion.pdf</t>
  </si>
  <si>
    <t xml:space="preserve">Glosario / tabla</t>
  </si>
  <si>
    <t xml:space="preserve">1 página: tabla herramienta ↔ uso ↔ cómo elegir.</t>
  </si>
  <si>
    <t xml:space="preserve">Tu guía «Glosario visual de herramientas de acabado» ya está disponible en tu cuenta de Club 57.</t>
  </si>
  <si>
    <t xml:space="preserve">guia-como-reparar-fuga-llave-mezcladora-lavabo-fregadero.pdf</t>
  </si>
  <si>
    <t xml:space="preserve">Diagrama de diagnóstico</t>
  </si>
  <si>
    <t xml:space="preserve">1 página: diagrama de fuga por origen, refacción necesaria y pasos resumidos.</t>
  </si>
  <si>
    <t xml:space="preserve">Tu guía «Guía: diagnóstico de fugas en llaves» ya está disponible en tu cuenta de Club 57.</t>
  </si>
  <si>
    <t xml:space="preserve">guia-merchandising-ferretero-exhibicion-aumentar-ventas-mostrador.pdf</t>
  </si>
  <si>
    <t xml:space="preserve">Pág. 1: checklist de exhibición (zonas, altura, limpieza, señales). Pág. 2: 10 kits sugeridos de venta cruzada.</t>
  </si>
  <si>
    <t xml:space="preserve">Tu guía «Checklist de exhibición para ferreterías» ya está disponible en tu cuenta de Club 57.</t>
  </si>
  <si>
    <t xml:space="preserve">guia-guia-de-guantes-de-trabajo-nitrilo-carnaza-latex-anticorte.pdf</t>
  </si>
  <si>
    <t xml:space="preserve">Matriz de consulta</t>
  </si>
  <si>
    <t xml:space="preserve">1 página: actividad × riesgo × guante recomendado × cuándo reemplazar.</t>
  </si>
  <si>
    <t xml:space="preserve">Tu guía «Matriz de selección de guantes de trabajo» ya está disponible en tu cuenta de Club 57.</t>
  </si>
  <si>
    <t xml:space="preserve">guia-herramientas-basicas-cajuela-auto-emergencias.pdf</t>
  </si>
  <si>
    <t xml:space="preserve">1 página: checklist por prioridad y revisión mensual/pre-viaje.</t>
  </si>
  <si>
    <t xml:space="preserve">Tu guía «Checklist: kit de emergencia para tu auto» ya está disponible en tu cuenta de Club 57.</t>
  </si>
  <si>
    <t xml:space="preserve">guia-chapa-sobreponer-embutir-o-alta-seguridad-cual-elegir.pdf</t>
  </si>
  <si>
    <t xml:space="preserve">Guía de medición + tabla</t>
  </si>
  <si>
    <t xml:space="preserve">1 página: guía de medición con esquemas vectoriales y tabla de elección por material de puerta.</t>
  </si>
  <si>
    <t xml:space="preserve">Tu guía «Cómo medir y elegir tu chapa» ya está disponible en tu cuenta de Club 57.</t>
  </si>
  <si>
    <t xml:space="preserve">guia-remachadoras-manuales-y-como-elegir-la-medida-de-remaches.pdf</t>
  </si>
  <si>
    <t xml:space="preserve">1 página: tabla de remache × broca × grosor de material × aplicación.</t>
  </si>
  <si>
    <t xml:space="preserve">Tu guía «Tabla de remaches: diámetro, largo y broca» ya está disponible en tu cuenta de Club 57.</t>
  </si>
  <si>
    <t xml:space="preserve">guia-como-cambiar-pastilla-termomagnetica-centro-de-carga.pdf</t>
  </si>
  <si>
    <t xml:space="preserve">Checklist + árbol de decisión</t>
  </si>
  <si>
    <t xml:space="preserve">Pág. 1: checklist de revisión de 15 puntos. Pág. 2: ¿lo hago yo o llamo al electricista? + pasos de cambio.</t>
  </si>
  <si>
    <t xml:space="preserve">Tu guía «Checklist de seguridad eléctrica del hogar» ya está disponible en tu cuenta de Club 57.</t>
  </si>
  <si>
    <t xml:space="preserve">guia-que-significan-cedula-40-80-y-numeros-en-tubos-pvc.pdf</t>
  </si>
  <si>
    <t xml:space="preserve">1 página: tabla cédula × diámetro × uso × conexión compatible.</t>
  </si>
  <si>
    <t xml:space="preserve">Tu guía «Guía de bolsillo: tuberías de PVC» ya está disponible en tu cuenta de Club 57.</t>
  </si>
  <si>
    <t xml:space="preserve">guia-ventajas-de-comprar-en-ferreteria-de-barrio.pdf</t>
  </si>
  <si>
    <t xml:space="preserve">1 página: qué medir, qué fotos llevar y preguntas para el vendedor.</t>
  </si>
  <si>
    <t xml:space="preserve">Tu guía «Checklist: qué llevar a la ferretería para comprar bien» ya está disponible en tu cuenta de Club 57.</t>
  </si>
  <si>
    <t xml:space="preserve">guia-como-limpiar-y-guardar-brochas-y-rodillos.pdf</t>
  </si>
  <si>
    <t xml:space="preserve">1 página: tabla pintura × método de limpieza × producto; checklist de guardado.</t>
  </si>
  <si>
    <t xml:space="preserve">Tu guía «Guía de limpieza y guardado de brochas y rodillos» ya está disponible en tu cuenta de Club 57.</t>
  </si>
  <si>
    <t xml:space="preserve">guia-tornilleria-acero-inoxidable-grados-y-cuando-usarla.pdf</t>
  </si>
  <si>
    <t xml:space="preserve">1 página: tabla ambiente × material (zincado/ inox 304/ inox 316) × observaciones.</t>
  </si>
  <si>
    <t xml:space="preserve">Tu guía «Guía de selección de tornillería por ambiente» ya está disponible en tu cuenta de Club 57.</t>
  </si>
  <si>
    <t xml:space="preserve">guia-silicones-automotrices-alta-temperatura-vs-selladores-construccion.pdf</t>
  </si>
  <si>
    <t xml:space="preserve">1 página: tabla de decisión Aplicación × Producto × Temperatura.</t>
  </si>
  <si>
    <t xml:space="preserve">Tu guía «Tabla: silicón automotriz vs sellador de construcción» ya está disponible en tu cuenta de Club 57.</t>
  </si>
  <si>
    <t xml:space="preserve">guia-como-organizar-tablero-de-herramientas-taller-garaje.pdf</t>
  </si>
  <si>
    <t xml:space="preserve">Plantilla de planeación</t>
  </si>
  <si>
    <t xml:space="preserve">1 página: cuadrícula para dibujar la distribución, lista de compra y reglas de orden.</t>
  </si>
  <si>
    <t xml:space="preserve">Tu guía «Planeador de tablero de herramientas» ya está disponible en tu cuenta de Club 57.</t>
  </si>
  <si>
    <t xml:space="preserve">guia-guia-epp-equipo-de-proteccion-personal-obra.pdf</t>
  </si>
  <si>
    <t xml:space="preserve">Checklist por actividad</t>
  </si>
  <si>
    <t xml:space="preserve">Pág. 1: matriz actividad × EPP. Pág. 2: lista de verificación de inspección y reemplazo.</t>
  </si>
  <si>
    <t xml:space="preserve">Tu guía «Checklist de EPP por actividad en obra» ya está disponible en tu cuenta de Club 57.</t>
  </si>
  <si>
    <t xml:space="preserve">guia-medida-milimetrica-vs-pulgadas-en-llaves-y-dados.pdf</t>
  </si>
  <si>
    <t xml:space="preserve">Tabla de conversión</t>
  </si>
  <si>
    <t xml:space="preserve">1 página: tabla de llaves y dados en mm con su equivalente en pulgadas (cálculo exacto) marcando pares 'casi iguales'.</t>
  </si>
  <si>
    <t xml:space="preserve">Tu guía «Tabla de equivalencias: llaves y dados mm / pulgadas» ya está disponible en tu cuenta de Club 57.</t>
  </si>
  <si>
    <t xml:space="preserve">guia-herramientas-para-tablaroca-primer-muro-falso.pdf</t>
  </si>
  <si>
    <t xml:space="preserve">Calculadora imprimible</t>
  </si>
  <si>
    <t xml:space="preserve">Pág. 1: formulario de medición. Pág. 2: tabla de materiales por m² y lista de compra.</t>
  </si>
  <si>
    <t xml:space="preserve">Tu guía «Calculadora de materiales: 1 m² de tablaroca» ya está disponible en tu cuenta de Club 57.</t>
  </si>
  <si>
    <t xml:space="preserve">guia-diferencias-soldadura-6013-7018-herreria.pdf</t>
  </si>
  <si>
    <t xml:space="preserve">1 página: tabla electrodo × uso × posición × corriente y recuadro de seguridad.</t>
  </si>
  <si>
    <t xml:space="preserve">Tu guía «Guía rápida de electrodos para soldadura» ya está disponible en tu cuenta de Club 57.</t>
  </si>
  <si>
    <t xml:space="preserve">guia-candado-para-motocicleta-bicicleta-y-rejas.pdf</t>
  </si>
  <si>
    <t xml:space="preserve">Tabla de selección</t>
  </si>
  <si>
    <t xml:space="preserve">1 página: tabla uso × candado × consejo de aseguramiento.</t>
  </si>
  <si>
    <t xml:space="preserve">Tu guía «Guía de candados: moto, bicicleta y reja» ya está disponible en tu cuenta de Club 57.</t>
  </si>
  <si>
    <t xml:space="preserve">guia-como-usar-un-multimetro-digital-basico.pdf</t>
  </si>
  <si>
    <t xml:space="preserve">Tabla de lecturas</t>
  </si>
  <si>
    <t xml:space="preserve">1 página: tabla de lecturas esperadas (pilas, contactos, continuidad) con símbolos del multímetro.</t>
  </si>
  <si>
    <t xml:space="preserve">Tu guía «Lecturas básicas de multímetro para el hogar» ya está disponible en tu cuenta de Club 57.</t>
  </si>
  <si>
    <t xml:space="preserve">guia-tipos-de-discos-de-corte-diamante-abrasivo-sierra.pdf</t>
  </si>
  <si>
    <t xml:space="preserve">Tabla + recuadro de seguridad</t>
  </si>
  <si>
    <t xml:space="preserve">1 página: tabla disco × material × herramienta × prohibido + EPP mínimo.</t>
  </si>
  <si>
    <t xml:space="preserve">Tu guía «Tabla de seguridad: discos de corte» ya está disponible en tu cuenta de Club 57.</t>
  </si>
  <si>
    <t xml:space="preserve">guia-mangueras-industriales-de-aire-y-agua-vs-jardin.pdf</t>
  </si>
  <si>
    <t xml:space="preserve">1 página: tabla uso × tipo de manguera × presión de trabajo × conexión.</t>
  </si>
  <si>
    <t xml:space="preserve">Tu guía «Tabla de selección de mangueras industriales» ya está disponible en tu cuenta de Club 57.</t>
  </si>
  <si>
    <t xml:space="preserve">guia-mantenimiento-basico-herramientas-electricas.pdf</t>
  </si>
  <si>
    <t xml:space="preserve">1 página: checklist por frecuencia (cada uso, mensual, anual) y espacio para fechas.</t>
  </si>
  <si>
    <t xml:space="preserve">Tu guía «Calendario de mantenimiento de herramientas eléctricas» ya está disponible en tu cuenta de Club 57.</t>
  </si>
  <si>
    <t xml:space="preserve">guia-diferencia-cemento-blanco-gris-mortero-yeso.pdf</t>
  </si>
  <si>
    <t xml:space="preserve">1 página: tabla trabajo × material × advertencias × herramienta.</t>
  </si>
  <si>
    <t xml:space="preserve">Tu guía «Guía rápida de materiales de albañilería» ya está disponible en tu cuenta de Club 57.</t>
  </si>
  <si>
    <t xml:space="preserve">guia-como-leer-un-flexometro-fracciones-de-pulgada-y-milimetros.pdf</t>
  </si>
  <si>
    <t xml:space="preserve">1 página: tabla mm ↔ pulgadas (decimales y fracciones comunes) y ejemplo de lectura.</t>
  </si>
  <si>
    <t xml:space="preserve">Tu guía «Tabla de conversión: milímetros y pulgadas» ya está disponible en tu cuenta de Club 57.</t>
  </si>
  <si>
    <t xml:space="preserve">guia-guia-de-lijas-que-grano-usar-madera-metal-agua.pdf</t>
  </si>
  <si>
    <t xml:space="preserve">1 página: tabla grano × uso × secuencia por proyecto.</t>
  </si>
  <si>
    <t xml:space="preserve">Tu guía «Tabla de lijas: granos y secuencias» ya está disponible en tu cuenta de Club 57.</t>
  </si>
  <si>
    <t xml:space="preserve">guia-herramientas-manuales-para-preparar-jardin-en-primavera.pdf</t>
  </si>
  <si>
    <t xml:space="preserve">1 página: checklist y calendario de tareas.</t>
  </si>
  <si>
    <t xml:space="preserve">Tu guía «Calendario de jardín: primavera» ya está disponible en tu cuenta de Club 57.</t>
  </si>
  <si>
    <t xml:space="preserve">guia-impermeabilizante-acrilico-vs-manto-prefabricado.pdf</t>
  </si>
  <si>
    <t xml:space="preserve">Guía + checklist</t>
  </si>
  <si>
    <t xml:space="preserve">Pág. 1: comparativa. Pág. 2: checklist de preparación y aplicación.</t>
  </si>
  <si>
    <t xml:space="preserve">Tu guía «Guía de impermeabilización de azotea» ya está disponible en tu cuenta de Club 57.</t>
  </si>
  <si>
    <t xml:space="preserve">ID enlace</t>
  </si>
  <si>
    <t xml:space="preserve">Origen (donde va el enlace)</t>
  </si>
  <si>
    <t xml:space="preserve">Título del origen</t>
  </si>
  <si>
    <t xml:space="preserve">Destino</t>
  </si>
  <si>
    <t xml:space="preserve">Título del destino</t>
  </si>
  <si>
    <t xml:space="preserve">Texto ancla sugerido</t>
  </si>
  <si>
    <t xml:space="preserve">Cuándo se agrega</t>
  </si>
  <si>
    <t xml:space="preserve">EN001</t>
  </si>
  <si>
    <t xml:space="preserve">Relacionado</t>
  </si>
  <si>
    <t xml:space="preserve">Lanzamiento (mismo día)</t>
  </si>
  <si>
    <t xml:space="preserve">EN002</t>
  </si>
  <si>
    <t xml:space="preserve">EN003</t>
  </si>
  <si>
    <t xml:space="preserve">EN004</t>
  </si>
  <si>
    <t xml:space="preserve">EN005</t>
  </si>
  <si>
    <t xml:space="preserve">EN006</t>
  </si>
  <si>
    <t xml:space="preserve">EN007</t>
  </si>
  <si>
    <t xml:space="preserve">EN008</t>
  </si>
  <si>
    <t xml:space="preserve">EN009</t>
  </si>
  <si>
    <t xml:space="preserve">Pilar de clúster ↔ satélite</t>
  </si>
  <si>
    <t xml:space="preserve">EN010</t>
  </si>
  <si>
    <t xml:space="preserve">EN011</t>
  </si>
  <si>
    <t xml:space="preserve">EN012</t>
  </si>
  <si>
    <t xml:space="preserve">EN013</t>
  </si>
  <si>
    <t xml:space="preserve">EN014</t>
  </si>
  <si>
    <t xml:space="preserve">EN015</t>
  </si>
  <si>
    <t xml:space="preserve">Al publicar B09: actualizar B02</t>
  </si>
  <si>
    <t xml:space="preserve">EN016</t>
  </si>
  <si>
    <t xml:space="preserve">Al publicar B09: actualizar B03</t>
  </si>
  <si>
    <t xml:space="preserve">EN017</t>
  </si>
  <si>
    <t xml:space="preserve">Al redactar B09</t>
  </si>
  <si>
    <t xml:space="preserve">EN018</t>
  </si>
  <si>
    <t xml:space="preserve">EN019</t>
  </si>
  <si>
    <t xml:space="preserve">Al publicar B10: actualizar B01</t>
  </si>
  <si>
    <t xml:space="preserve">EN020</t>
  </si>
  <si>
    <t xml:space="preserve">Al publicar B10: actualizar B02</t>
  </si>
  <si>
    <t xml:space="preserve">EN021</t>
  </si>
  <si>
    <t xml:space="preserve">Al publicar B10: actualizar B04</t>
  </si>
  <si>
    <t xml:space="preserve">EN022</t>
  </si>
  <si>
    <t xml:space="preserve">Al publicar B10: actualizar B05</t>
  </si>
  <si>
    <t xml:space="preserve">EN023</t>
  </si>
  <si>
    <t xml:space="preserve">Al redactar B10</t>
  </si>
  <si>
    <t xml:space="preserve">EN024</t>
  </si>
  <si>
    <t xml:space="preserve">EN025</t>
  </si>
  <si>
    <t xml:space="preserve">EN026</t>
  </si>
  <si>
    <t xml:space="preserve">EN027</t>
  </si>
  <si>
    <t xml:space="preserve">Al publicar B11: actualizar B04</t>
  </si>
  <si>
    <t xml:space="preserve">EN028</t>
  </si>
  <si>
    <t xml:space="preserve">Al redactar B11</t>
  </si>
  <si>
    <t xml:space="preserve">EN029</t>
  </si>
  <si>
    <t xml:space="preserve">Al publicar B13: actualizar B04</t>
  </si>
  <si>
    <t xml:space="preserve">EN030</t>
  </si>
  <si>
    <t xml:space="preserve">Al publicar B13: actualizar B07</t>
  </si>
  <si>
    <t xml:space="preserve">EN031</t>
  </si>
  <si>
    <t xml:space="preserve">Al publicar B13: actualizar B11</t>
  </si>
  <si>
    <t xml:space="preserve">EN032</t>
  </si>
  <si>
    <t xml:space="preserve">Al redactar B13</t>
  </si>
  <si>
    <t xml:space="preserve">EN033</t>
  </si>
  <si>
    <t xml:space="preserve">EN034</t>
  </si>
  <si>
    <t xml:space="preserve">EN035</t>
  </si>
  <si>
    <t xml:space="preserve">Al publicar B14: actualizar B04</t>
  </si>
  <si>
    <t xml:space="preserve">EN036</t>
  </si>
  <si>
    <t xml:space="preserve">Al redactar B14</t>
  </si>
  <si>
    <t xml:space="preserve">EN037</t>
  </si>
  <si>
    <t xml:space="preserve">Al publicar B15: actualizar B05</t>
  </si>
  <si>
    <t xml:space="preserve">EN038</t>
  </si>
  <si>
    <t xml:space="preserve">Al redactar B15</t>
  </si>
  <si>
    <t xml:space="preserve">EN039</t>
  </si>
  <si>
    <t xml:space="preserve">Al publicar B16: actualizar B05</t>
  </si>
  <si>
    <t xml:space="preserve">EN040</t>
  </si>
  <si>
    <t xml:space="preserve">Al publicar B16: actualizar B15</t>
  </si>
  <si>
    <t xml:space="preserve">EN041</t>
  </si>
  <si>
    <t xml:space="preserve">Al redactar B16</t>
  </si>
  <si>
    <t xml:space="preserve">EN042</t>
  </si>
  <si>
    <t xml:space="preserve">EN043</t>
  </si>
  <si>
    <t xml:space="preserve">Al publicar B17: actualizar B04</t>
  </si>
  <si>
    <t xml:space="preserve">EN044</t>
  </si>
  <si>
    <t xml:space="preserve">Al publicar B17: actualizar B13</t>
  </si>
  <si>
    <t xml:space="preserve">EN045</t>
  </si>
  <si>
    <t xml:space="preserve">Al publicar B17: actualizar B14</t>
  </si>
  <si>
    <t xml:space="preserve">EN046</t>
  </si>
  <si>
    <t xml:space="preserve">Al redactar B17</t>
  </si>
  <si>
    <t xml:space="preserve">EN047</t>
  </si>
  <si>
    <t xml:space="preserve">EN048</t>
  </si>
  <si>
    <t xml:space="preserve">EN049</t>
  </si>
  <si>
    <t xml:space="preserve">Al publicar B18: actualizar B04</t>
  </si>
  <si>
    <t xml:space="preserve">EN050</t>
  </si>
  <si>
    <t xml:space="preserve">Al publicar B18: actualizar B07</t>
  </si>
  <si>
    <t xml:space="preserve">EN051</t>
  </si>
  <si>
    <t xml:space="preserve">Al redactar B18</t>
  </si>
  <si>
    <t xml:space="preserve">EN052</t>
  </si>
  <si>
    <t xml:space="preserve">EN053</t>
  </si>
  <si>
    <t xml:space="preserve">Al publicar B19: actualizar B04</t>
  </si>
  <si>
    <t xml:space="preserve">EN054</t>
  </si>
  <si>
    <t xml:space="preserve">Al publicar B19: actualizar B11</t>
  </si>
  <si>
    <t xml:space="preserve">EN055</t>
  </si>
  <si>
    <t xml:space="preserve">Al publicar B19: actualizar B13</t>
  </si>
  <si>
    <t xml:space="preserve">EN056</t>
  </si>
  <si>
    <t xml:space="preserve">Al redactar B19</t>
  </si>
  <si>
    <t xml:space="preserve">EN057</t>
  </si>
  <si>
    <t xml:space="preserve">EN058</t>
  </si>
  <si>
    <t xml:space="preserve">EN059</t>
  </si>
  <si>
    <t xml:space="preserve">Al publicar B20: actualizar B02</t>
  </si>
  <si>
    <t xml:space="preserve">EN060</t>
  </si>
  <si>
    <t xml:space="preserve">Al publicar B20: actualizar B03</t>
  </si>
  <si>
    <t xml:space="preserve">EN061</t>
  </si>
  <si>
    <t xml:space="preserve">Al publicar B20: actualizar B09</t>
  </si>
  <si>
    <t xml:space="preserve">EN062</t>
  </si>
  <si>
    <t xml:space="preserve">Al redactar B20</t>
  </si>
  <si>
    <t xml:space="preserve">EN063</t>
  </si>
  <si>
    <t xml:space="preserve">EN064</t>
  </si>
  <si>
    <t xml:space="preserve">EN065</t>
  </si>
  <si>
    <t xml:space="preserve">Al publicar B21: actualizar B05</t>
  </si>
  <si>
    <t xml:space="preserve">EN066</t>
  </si>
  <si>
    <t xml:space="preserve">Al publicar B21: actualizar B15</t>
  </si>
  <si>
    <t xml:space="preserve">EN067</t>
  </si>
  <si>
    <t xml:space="preserve">Al redactar B21</t>
  </si>
  <si>
    <t xml:space="preserve">EN068</t>
  </si>
  <si>
    <t xml:space="preserve">EN069</t>
  </si>
  <si>
    <t xml:space="preserve">Al publicar B22: actualizar B12</t>
  </si>
  <si>
    <t xml:space="preserve">EN070</t>
  </si>
  <si>
    <t xml:space="preserve">Al publicar B22: actualizar B13</t>
  </si>
  <si>
    <t xml:space="preserve">EN071</t>
  </si>
  <si>
    <t xml:space="preserve">Al publicar B22: actualizar B14</t>
  </si>
  <si>
    <t xml:space="preserve">EN072</t>
  </si>
  <si>
    <t xml:space="preserve">Al publicar B22: actualizar B17</t>
  </si>
  <si>
    <t xml:space="preserve">EN073</t>
  </si>
  <si>
    <t xml:space="preserve">Al redactar B22</t>
  </si>
  <si>
    <t xml:space="preserve">EN074</t>
  </si>
  <si>
    <t xml:space="preserve">EN075</t>
  </si>
  <si>
    <t xml:space="preserve">EN076</t>
  </si>
  <si>
    <t xml:space="preserve">EN077</t>
  </si>
  <si>
    <t xml:space="preserve">Al publicar B23: actualizar B04</t>
  </si>
  <si>
    <t xml:space="preserve">EN078</t>
  </si>
  <si>
    <t xml:space="preserve">Al publicar B23: actualizar B07</t>
  </si>
  <si>
    <t xml:space="preserve">EN079</t>
  </si>
  <si>
    <t xml:space="preserve">Al publicar B23: actualizar B13</t>
  </si>
  <si>
    <t xml:space="preserve">EN080</t>
  </si>
  <si>
    <t xml:space="preserve">Al publicar B23: actualizar B14</t>
  </si>
  <si>
    <t xml:space="preserve">EN081</t>
  </si>
  <si>
    <t xml:space="preserve">Al publicar B23: actualizar B17</t>
  </si>
  <si>
    <t xml:space="preserve">EN082</t>
  </si>
  <si>
    <t xml:space="preserve">Al publicar B23: actualizar B18</t>
  </si>
  <si>
    <t xml:space="preserve">EN083</t>
  </si>
  <si>
    <t xml:space="preserve">Al redactar B23</t>
  </si>
  <si>
    <t xml:space="preserve">EN084</t>
  </si>
  <si>
    <t xml:space="preserve">EN085</t>
  </si>
  <si>
    <t xml:space="preserve">EN086</t>
  </si>
  <si>
    <t xml:space="preserve">EN087</t>
  </si>
  <si>
    <t xml:space="preserve">EN088</t>
  </si>
  <si>
    <t xml:space="preserve">EN089</t>
  </si>
  <si>
    <t xml:space="preserve">Al publicar B24: actualizar B06</t>
  </si>
  <si>
    <t xml:space="preserve">EN090</t>
  </si>
  <si>
    <t xml:space="preserve">Al publicar B24: actualizar B08</t>
  </si>
  <si>
    <t xml:space="preserve">EN091</t>
  </si>
  <si>
    <t xml:space="preserve">Al redactar B24</t>
  </si>
  <si>
    <t xml:space="preserve">EN092</t>
  </si>
  <si>
    <t xml:space="preserve">EN093</t>
  </si>
  <si>
    <t xml:space="preserve">Al publicar B25: actualizar B02</t>
  </si>
  <si>
    <t xml:space="preserve">EN094</t>
  </si>
  <si>
    <t xml:space="preserve">Al publicar B25: actualizar B16</t>
  </si>
  <si>
    <t xml:space="preserve">EN095</t>
  </si>
  <si>
    <t xml:space="preserve">Al publicar B25: actualizar B19</t>
  </si>
  <si>
    <t xml:space="preserve">EN096</t>
  </si>
  <si>
    <t xml:space="preserve">Al redactar B25</t>
  </si>
  <si>
    <t xml:space="preserve">EN097</t>
  </si>
  <si>
    <t xml:space="preserve">EN098</t>
  </si>
  <si>
    <t xml:space="preserve">EN099</t>
  </si>
  <si>
    <t xml:space="preserve">Al publicar B26: actualizar B02</t>
  </si>
  <si>
    <t xml:space="preserve">EN100</t>
  </si>
  <si>
    <t xml:space="preserve">Al publicar B26: actualizar B12</t>
  </si>
  <si>
    <t xml:space="preserve">EN101</t>
  </si>
  <si>
    <t xml:space="preserve">Al redactar B26</t>
  </si>
  <si>
    <t xml:space="preserve">EN102</t>
  </si>
  <si>
    <t xml:space="preserve">EN103</t>
  </si>
  <si>
    <t xml:space="preserve">Al publicar B27: actualizar B10</t>
  </si>
  <si>
    <t xml:space="preserve">EN104</t>
  </si>
  <si>
    <t xml:space="preserve">Al publicar B27: actualizar B19</t>
  </si>
  <si>
    <t xml:space="preserve">EN105</t>
  </si>
  <si>
    <t xml:space="preserve">Al redactar B27</t>
  </si>
  <si>
    <t xml:space="preserve">EN106</t>
  </si>
  <si>
    <t xml:space="preserve">EN107</t>
  </si>
  <si>
    <t xml:space="preserve">Al publicar B28: actualizar B02</t>
  </si>
  <si>
    <t xml:space="preserve">EN108</t>
  </si>
  <si>
    <t xml:space="preserve">Al publicar B28: actualizar B03</t>
  </si>
  <si>
    <t xml:space="preserve">EN109</t>
  </si>
  <si>
    <t xml:space="preserve">Al publicar B28: actualizar B04</t>
  </si>
  <si>
    <t xml:space="preserve">EN110</t>
  </si>
  <si>
    <t xml:space="preserve">Al redactar B28</t>
  </si>
  <si>
    <t xml:space="preserve">EN111</t>
  </si>
  <si>
    <t xml:space="preserve">EN112</t>
  </si>
  <si>
    <t xml:space="preserve">EN113</t>
  </si>
  <si>
    <t xml:space="preserve">Al publicar B29: actualizar B02</t>
  </si>
  <si>
    <t xml:space="preserve">EN114</t>
  </si>
  <si>
    <t xml:space="preserve">Al publicar B29: actualizar B04</t>
  </si>
  <si>
    <t xml:space="preserve">EN115</t>
  </si>
  <si>
    <t xml:space="preserve">Al publicar B29: actualizar B11</t>
  </si>
  <si>
    <t xml:space="preserve">EN116</t>
  </si>
  <si>
    <t xml:space="preserve">Al publicar B29: actualizar B13</t>
  </si>
  <si>
    <t xml:space="preserve">EN117</t>
  </si>
  <si>
    <t xml:space="preserve">Al redactar B29</t>
  </si>
  <si>
    <t xml:space="preserve">EN118</t>
  </si>
  <si>
    <t xml:space="preserve">EN119</t>
  </si>
  <si>
    <t xml:space="preserve">EN120</t>
  </si>
  <si>
    <t xml:space="preserve">EN121</t>
  </si>
  <si>
    <t xml:space="preserve">Al publicar B30: actualizar B06</t>
  </si>
  <si>
    <t xml:space="preserve">EN122</t>
  </si>
  <si>
    <t xml:space="preserve">Al publicar B30: actualizar B08</t>
  </si>
  <si>
    <t xml:space="preserve">EN123</t>
  </si>
  <si>
    <t xml:space="preserve">Al publicar B30: actualizar B24</t>
  </si>
  <si>
    <t xml:space="preserve">EN124</t>
  </si>
  <si>
    <t xml:space="preserve">Al publicar B30: actualizar B28</t>
  </si>
  <si>
    <t xml:space="preserve">EN125</t>
  </si>
  <si>
    <t xml:space="preserve">Al redactar B30</t>
  </si>
  <si>
    <t xml:space="preserve">EN126</t>
  </si>
  <si>
    <t xml:space="preserve">EN127</t>
  </si>
  <si>
    <t xml:space="preserve">EN128</t>
  </si>
  <si>
    <t xml:space="preserve">EN129</t>
  </si>
  <si>
    <t xml:space="preserve">Al publicar B31: actualizar B08</t>
  </si>
  <si>
    <t xml:space="preserve">EN130</t>
  </si>
  <si>
    <t xml:space="preserve">Al publicar B31: actualizar B19</t>
  </si>
  <si>
    <t xml:space="preserve">EN131</t>
  </si>
  <si>
    <t xml:space="preserve">Al redactar B31</t>
  </si>
  <si>
    <t xml:space="preserve">EN132</t>
  </si>
  <si>
    <t xml:space="preserve">EN133</t>
  </si>
  <si>
    <t xml:space="preserve">Al publicar B32: actualizar B04</t>
  </si>
  <si>
    <t xml:space="preserve">EN134</t>
  </si>
  <si>
    <t xml:space="preserve">Al publicar B32: actualizar B11</t>
  </si>
  <si>
    <t xml:space="preserve">EN135</t>
  </si>
  <si>
    <t xml:space="preserve">Al publicar B32: actualizar B13</t>
  </si>
  <si>
    <t xml:space="preserve">EN136</t>
  </si>
  <si>
    <t xml:space="preserve">Al publicar B32: actualizar B29</t>
  </si>
  <si>
    <t xml:space="preserve">EN137</t>
  </si>
  <si>
    <t xml:space="preserve">Al redactar B32</t>
  </si>
  <si>
    <t xml:space="preserve">EN138</t>
  </si>
  <si>
    <t xml:space="preserve">EN139</t>
  </si>
  <si>
    <t xml:space="preserve">EN140</t>
  </si>
  <si>
    <t xml:space="preserve">EN141</t>
  </si>
  <si>
    <t xml:space="preserve">Al publicar B33: actualizar B01</t>
  </si>
  <si>
    <t xml:space="preserve">EN142</t>
  </si>
  <si>
    <t xml:space="preserve">Al publicar B33: actualizar B03</t>
  </si>
  <si>
    <t xml:space="preserve">EN143</t>
  </si>
  <si>
    <t xml:space="preserve">Al publicar B33: actualizar B19</t>
  </si>
  <si>
    <t xml:space="preserve">EN144</t>
  </si>
  <si>
    <t xml:space="preserve">Al publicar B33: actualizar B27</t>
  </si>
  <si>
    <t xml:space="preserve">EN145</t>
  </si>
  <si>
    <t xml:space="preserve">Al redactar B33</t>
  </si>
  <si>
    <t xml:space="preserve">EN146</t>
  </si>
  <si>
    <t xml:space="preserve">EN147</t>
  </si>
  <si>
    <t xml:space="preserve">EN148</t>
  </si>
  <si>
    <t xml:space="preserve">EN149</t>
  </si>
  <si>
    <t xml:space="preserve">Al publicar B34: actualizar B12</t>
  </si>
  <si>
    <t xml:space="preserve">EN150</t>
  </si>
  <si>
    <t xml:space="preserve">Al redactar B34</t>
  </si>
  <si>
    <t xml:space="preserve">EN151</t>
  </si>
  <si>
    <t xml:space="preserve">Al publicar B35: actualizar B02</t>
  </si>
  <si>
    <t xml:space="preserve">EN152</t>
  </si>
  <si>
    <t xml:space="preserve">Al publicar B35: actualizar B34</t>
  </si>
  <si>
    <t xml:space="preserve">EN153</t>
  </si>
  <si>
    <t xml:space="preserve">Al redactar B35</t>
  </si>
  <si>
    <t xml:space="preserve">EN154</t>
  </si>
  <si>
    <t xml:space="preserve">EN155</t>
  </si>
  <si>
    <t xml:space="preserve">Al publicar B36: actualizar B12</t>
  </si>
  <si>
    <t xml:space="preserve">EN156</t>
  </si>
  <si>
    <t xml:space="preserve">Al publicar B36: actualizar B34</t>
  </si>
  <si>
    <t xml:space="preserve">EN157</t>
  </si>
  <si>
    <t xml:space="preserve">Al redactar B36</t>
  </si>
  <si>
    <t xml:space="preserve">EN158</t>
  </si>
  <si>
    <t xml:space="preserve">EN159</t>
  </si>
  <si>
    <t xml:space="preserve">Al publicar B37: actualizar B03</t>
  </si>
  <si>
    <t xml:space="preserve">EN160</t>
  </si>
  <si>
    <t xml:space="preserve">Al publicar B37: actualizar B19</t>
  </si>
  <si>
    <t xml:space="preserve">EN161</t>
  </si>
  <si>
    <t xml:space="preserve">Al publicar B37: actualizar B31</t>
  </si>
  <si>
    <t xml:space="preserve">EN162</t>
  </si>
  <si>
    <t xml:space="preserve">Al redactar B37</t>
  </si>
  <si>
    <t xml:space="preserve">EN163</t>
  </si>
  <si>
    <t xml:space="preserve">EN164</t>
  </si>
  <si>
    <t xml:space="preserve">EN165</t>
  </si>
  <si>
    <t xml:space="preserve">Al publicar B38: actualizar B05</t>
  </si>
  <si>
    <t xml:space="preserve">EN166</t>
  </si>
  <si>
    <t xml:space="preserve">Al publicar B38: actualizar B15</t>
  </si>
  <si>
    <t xml:space="preserve">EN167</t>
  </si>
  <si>
    <t xml:space="preserve">Al publicar B38: actualizar B16</t>
  </si>
  <si>
    <t xml:space="preserve">EN168</t>
  </si>
  <si>
    <t xml:space="preserve">Al publicar B38: actualizar B21</t>
  </si>
  <si>
    <t xml:space="preserve">EN169</t>
  </si>
  <si>
    <t xml:space="preserve">Al redactar B38</t>
  </si>
  <si>
    <t xml:space="preserve">EN170</t>
  </si>
  <si>
    <t xml:space="preserve">EN171</t>
  </si>
  <si>
    <t xml:space="preserve">EN172</t>
  </si>
  <si>
    <t xml:space="preserve">EN173</t>
  </si>
  <si>
    <t xml:space="preserve">Al publicar B39: actualizar B04</t>
  </si>
  <si>
    <t xml:space="preserve">EN174</t>
  </si>
  <si>
    <t xml:space="preserve">Al publicar B39: actualizar B13</t>
  </si>
  <si>
    <t xml:space="preserve">EN175</t>
  </si>
  <si>
    <t xml:space="preserve">Al publicar B39: actualizar B19</t>
  </si>
  <si>
    <t xml:space="preserve">EN176</t>
  </si>
  <si>
    <t xml:space="preserve">Al redactar B39</t>
  </si>
  <si>
    <t xml:space="preserve">EN177</t>
  </si>
  <si>
    <t xml:space="preserve">EN178</t>
  </si>
  <si>
    <t xml:space="preserve">EN179</t>
  </si>
  <si>
    <t xml:space="preserve">Al publicar B40: actualizar B01</t>
  </si>
  <si>
    <t xml:space="preserve">EN180</t>
  </si>
  <si>
    <t xml:space="preserve">Al publicar B40: actualizar B10</t>
  </si>
  <si>
    <t xml:space="preserve">EN181</t>
  </si>
  <si>
    <t xml:space="preserve">Al publicar B40: actualizar B27</t>
  </si>
  <si>
    <t xml:space="preserve">EN182</t>
  </si>
  <si>
    <t xml:space="preserve">Al publicar B40: actualizar B33</t>
  </si>
  <si>
    <t xml:space="preserve">EN183</t>
  </si>
  <si>
    <t xml:space="preserve">Al redactar B40</t>
  </si>
  <si>
    <t xml:space="preserve">EN184</t>
  </si>
  <si>
    <t xml:space="preserve">EN185</t>
  </si>
  <si>
    <t xml:space="preserve">EN186</t>
  </si>
  <si>
    <t xml:space="preserve">EN187</t>
  </si>
  <si>
    <t xml:space="preserve">Al publicar B41: actualizar B06</t>
  </si>
  <si>
    <t xml:space="preserve">EN188</t>
  </si>
  <si>
    <t xml:space="preserve">Al publicar B41: actualizar B08</t>
  </si>
  <si>
    <t xml:space="preserve">EN189</t>
  </si>
  <si>
    <t xml:space="preserve">Al publicar B41: actualizar B24</t>
  </si>
  <si>
    <t xml:space="preserve">EN190</t>
  </si>
  <si>
    <t xml:space="preserve">Al redactar B41</t>
  </si>
  <si>
    <t xml:space="preserve">EN191</t>
  </si>
  <si>
    <t xml:space="preserve">EN192</t>
  </si>
  <si>
    <t xml:space="preserve">EN193</t>
  </si>
  <si>
    <t xml:space="preserve">Al publicar B42: actualizar B03</t>
  </si>
  <si>
    <t xml:space="preserve">EN194</t>
  </si>
  <si>
    <t xml:space="preserve">Al publicar B42: actualizar B34</t>
  </si>
  <si>
    <t xml:space="preserve">EN195</t>
  </si>
  <si>
    <t xml:space="preserve">Al publicar B42: actualizar B37</t>
  </si>
  <si>
    <t xml:space="preserve">EN196</t>
  </si>
  <si>
    <t xml:space="preserve">Al redactar B42</t>
  </si>
  <si>
    <t xml:space="preserve">EN197</t>
  </si>
  <si>
    <t xml:space="preserve">EN198</t>
  </si>
  <si>
    <t xml:space="preserve">EN199</t>
  </si>
  <si>
    <t xml:space="preserve">Al publicar B43: actualizar B06</t>
  </si>
  <si>
    <t xml:space="preserve">EN200</t>
  </si>
  <si>
    <t xml:space="preserve">Al publicar B43: actualizar B08</t>
  </si>
  <si>
    <t xml:space="preserve">EN201</t>
  </si>
  <si>
    <t xml:space="preserve">Al publicar B43: actualizar B28</t>
  </si>
  <si>
    <t xml:space="preserve">EN202</t>
  </si>
  <si>
    <t xml:space="preserve">Al publicar B43: actualizar B30</t>
  </si>
  <si>
    <t xml:space="preserve">EN203</t>
  </si>
  <si>
    <t xml:space="preserve">Al redactar B43</t>
  </si>
  <si>
    <t xml:space="preserve">EN204</t>
  </si>
  <si>
    <t xml:space="preserve">EN205</t>
  </si>
  <si>
    <t xml:space="preserve">EN206</t>
  </si>
  <si>
    <t xml:space="preserve">EN207</t>
  </si>
  <si>
    <t xml:space="preserve">Al publicar B44: actualizar B02</t>
  </si>
  <si>
    <t xml:space="preserve">EN208</t>
  </si>
  <si>
    <t xml:space="preserve">Al publicar B44: actualizar B03</t>
  </si>
  <si>
    <t xml:space="preserve">EN209</t>
  </si>
  <si>
    <t xml:space="preserve">Al publicar B44: actualizar B09</t>
  </si>
  <si>
    <t xml:space="preserve">EN210</t>
  </si>
  <si>
    <t xml:space="preserve">Al publicar B44: actualizar B26</t>
  </si>
  <si>
    <t xml:space="preserve">EN211</t>
  </si>
  <si>
    <t xml:space="preserve">Al redactar B44</t>
  </si>
  <si>
    <t xml:space="preserve">EN212</t>
  </si>
  <si>
    <t xml:space="preserve">EN213</t>
  </si>
  <si>
    <t xml:space="preserve">EN214</t>
  </si>
  <si>
    <t xml:space="preserve">EN215</t>
  </si>
  <si>
    <t xml:space="preserve">Al publicar B45: actualizar B06</t>
  </si>
  <si>
    <t xml:space="preserve">EN216</t>
  </si>
  <si>
    <t xml:space="preserve">Al publicar B45: actualizar B12</t>
  </si>
  <si>
    <t xml:space="preserve">EN217</t>
  </si>
  <si>
    <t xml:space="preserve">Al publicar B45: actualizar B34</t>
  </si>
  <si>
    <t xml:space="preserve">EN218</t>
  </si>
  <si>
    <t xml:space="preserve">Al redactar B45</t>
  </si>
  <si>
    <t xml:space="preserve">EN219</t>
  </si>
  <si>
    <t xml:space="preserve">EN220</t>
  </si>
  <si>
    <t xml:space="preserve">EN221</t>
  </si>
  <si>
    <t xml:space="preserve">Al publicar B46: actualizar B02</t>
  </si>
  <si>
    <t xml:space="preserve">EN222</t>
  </si>
  <si>
    <t xml:space="preserve">Al publicar B46: actualizar B25</t>
  </si>
  <si>
    <t xml:space="preserve">EN223</t>
  </si>
  <si>
    <t xml:space="preserve">Al publicar B46: actualizar B35</t>
  </si>
  <si>
    <t xml:space="preserve">EN224</t>
  </si>
  <si>
    <t xml:space="preserve">Al redactar B46</t>
  </si>
  <si>
    <t xml:space="preserve">EN225</t>
  </si>
  <si>
    <t xml:space="preserve">EN226</t>
  </si>
  <si>
    <t xml:space="preserve">EN227</t>
  </si>
  <si>
    <t xml:space="preserve">Al publicar B47: actualizar B03</t>
  </si>
  <si>
    <t xml:space="preserve">EN228</t>
  </si>
  <si>
    <t xml:space="preserve">Al publicar B47: actualizar B09</t>
  </si>
  <si>
    <t xml:space="preserve">EN229</t>
  </si>
  <si>
    <t xml:space="preserve">Al publicar B47: actualizar B20</t>
  </si>
  <si>
    <t xml:space="preserve">EN230</t>
  </si>
  <si>
    <t xml:space="preserve">Al publicar B47: actualizar B31</t>
  </si>
  <si>
    <t xml:space="preserve">EN231</t>
  </si>
  <si>
    <t xml:space="preserve">Al redactar B47</t>
  </si>
  <si>
    <t xml:space="preserve">EN232</t>
  </si>
  <si>
    <t xml:space="preserve">EN233</t>
  </si>
  <si>
    <t xml:space="preserve">EN234</t>
  </si>
  <si>
    <t xml:space="preserve">EN235</t>
  </si>
  <si>
    <t xml:space="preserve">Al publicar B48: actualizar B03</t>
  </si>
  <si>
    <t xml:space="preserve">EN236</t>
  </si>
  <si>
    <t xml:space="preserve">Al publicar B48: actualizar B34</t>
  </si>
  <si>
    <t xml:space="preserve">EN237</t>
  </si>
  <si>
    <t xml:space="preserve">Al publicar B48: actualizar B42</t>
  </si>
  <si>
    <t xml:space="preserve">EN238</t>
  </si>
  <si>
    <t xml:space="preserve">Al publicar B48: actualizar B45</t>
  </si>
  <si>
    <t xml:space="preserve">EN239</t>
  </si>
  <si>
    <t xml:space="preserve">Al redactar B48</t>
  </si>
  <si>
    <t xml:space="preserve">EN240</t>
  </si>
  <si>
    <t xml:space="preserve">EN241</t>
  </si>
  <si>
    <t xml:space="preserve">EN242</t>
  </si>
  <si>
    <t xml:space="preserve">EN243</t>
  </si>
  <si>
    <t xml:space="preserve">Al publicar B49: actualizar B12</t>
  </si>
  <si>
    <t xml:space="preserve">EN244</t>
  </si>
  <si>
    <t xml:space="preserve">Al publicar B49: actualizar B36</t>
  </si>
  <si>
    <t xml:space="preserve">EN245</t>
  </si>
  <si>
    <t xml:space="preserve">Al publicar B49: actualizar B45</t>
  </si>
  <si>
    <t xml:space="preserve">EN246</t>
  </si>
  <si>
    <t xml:space="preserve">Al redactar B49</t>
  </si>
  <si>
    <t xml:space="preserve">EN247</t>
  </si>
  <si>
    <t xml:space="preserve">EN248</t>
  </si>
  <si>
    <t xml:space="preserve">EN249</t>
  </si>
  <si>
    <t xml:space="preserve">Al publicar B50: actualizar B02</t>
  </si>
  <si>
    <t xml:space="preserve">EN250</t>
  </si>
  <si>
    <t xml:space="preserve">Al publicar B50: actualizar B05</t>
  </si>
  <si>
    <t xml:space="preserve">EN251</t>
  </si>
  <si>
    <t xml:space="preserve">Al publicar B50: actualizar B15</t>
  </si>
  <si>
    <t xml:space="preserve">EN252</t>
  </si>
  <si>
    <t xml:space="preserve">Al publicar B50: actualizar B16</t>
  </si>
  <si>
    <t xml:space="preserve">EN253</t>
  </si>
  <si>
    <t xml:space="preserve">Al publicar B50: actualizar B38</t>
  </si>
  <si>
    <t xml:space="preserve">EN254</t>
  </si>
  <si>
    <t xml:space="preserve">Al redactar B50</t>
  </si>
  <si>
    <t xml:space="preserve">EN255</t>
  </si>
  <si>
    <t xml:space="preserve">EN256</t>
  </si>
  <si>
    <t xml:space="preserve">EN257</t>
  </si>
  <si>
    <t xml:space="preserve">EN258</t>
  </si>
  <si>
    <t xml:space="preserve">EN259</t>
  </si>
  <si>
    <t xml:space="preserve">Al publicar B51: actualizar B02</t>
  </si>
  <si>
    <t xml:space="preserve">EN260</t>
  </si>
  <si>
    <t xml:space="preserve">Al publicar B51: actualizar B34</t>
  </si>
  <si>
    <t xml:space="preserve">EN261</t>
  </si>
  <si>
    <t xml:space="preserve">Al publicar B51: actualizar B42</t>
  </si>
  <si>
    <t xml:space="preserve">EN262</t>
  </si>
  <si>
    <t xml:space="preserve">Al publicar B51: actualizar B45</t>
  </si>
  <si>
    <t xml:space="preserve">EN263</t>
  </si>
  <si>
    <t xml:space="preserve">Al publicar B51: actualizar B48</t>
  </si>
  <si>
    <t xml:space="preserve">EN264</t>
  </si>
  <si>
    <t xml:space="preserve">Al redactar B51</t>
  </si>
  <si>
    <t xml:space="preserve">EN265</t>
  </si>
  <si>
    <t xml:space="preserve">EN266</t>
  </si>
  <si>
    <t xml:space="preserve">EN267</t>
  </si>
  <si>
    <t xml:space="preserve">EN268</t>
  </si>
  <si>
    <t xml:space="preserve">EN269</t>
  </si>
  <si>
    <t xml:space="preserve">Al publicar B52: actualizar B18</t>
  </si>
  <si>
    <t xml:space="preserve">EN270</t>
  </si>
  <si>
    <t xml:space="preserve">Al publicar B52: actualizar B19</t>
  </si>
  <si>
    <t xml:space="preserve">EN271</t>
  </si>
  <si>
    <t xml:space="preserve">Al publicar B52: actualizar B42</t>
  </si>
  <si>
    <t xml:space="preserve">EN272</t>
  </si>
  <si>
    <t xml:space="preserve">Al publicar B52: actualizar B45</t>
  </si>
  <si>
    <t xml:space="preserve">EN273</t>
  </si>
  <si>
    <t xml:space="preserve">Al redactar B52</t>
  </si>
  <si>
    <t xml:space="preserve">EN274</t>
  </si>
  <si>
    <t xml:space="preserve">EN275</t>
  </si>
  <si>
    <t xml:space="preserve">EN276</t>
  </si>
  <si>
    <t xml:space="preserve">EN277</t>
  </si>
  <si>
    <t xml:space="preserve">Al publicar B53: actualizar B02</t>
  </si>
  <si>
    <t xml:space="preserve">EN278</t>
  </si>
  <si>
    <t xml:space="preserve">Al publicar B53: actualizar B03</t>
  </si>
  <si>
    <t xml:space="preserve">EN279</t>
  </si>
  <si>
    <t xml:space="preserve">Al publicar B53: actualizar B26</t>
  </si>
  <si>
    <t xml:space="preserve">EN280</t>
  </si>
  <si>
    <t xml:space="preserve">Al publicar B53: actualizar B51</t>
  </si>
  <si>
    <t xml:space="preserve">EN281</t>
  </si>
  <si>
    <t xml:space="preserve">Al redactar B53</t>
  </si>
  <si>
    <t xml:space="preserve">EN282</t>
  </si>
  <si>
    <t xml:space="preserve">EN283</t>
  </si>
  <si>
    <t xml:space="preserve">EN284</t>
  </si>
  <si>
    <t xml:space="preserve">EN285</t>
  </si>
  <si>
    <t xml:space="preserve">Al publicar B54: actualizar B03</t>
  </si>
  <si>
    <t xml:space="preserve">EN286</t>
  </si>
  <si>
    <t xml:space="preserve">Al publicar B54: actualizar B06</t>
  </si>
  <si>
    <t xml:space="preserve">EN287</t>
  </si>
  <si>
    <t xml:space="preserve">Al publicar B54: actualizar B31</t>
  </si>
  <si>
    <t xml:space="preserve">EN288</t>
  </si>
  <si>
    <t xml:space="preserve">Al publicar B54: actualizar B47</t>
  </si>
  <si>
    <t xml:space="preserve">EN289</t>
  </si>
  <si>
    <t xml:space="preserve">Al redactar B54</t>
  </si>
  <si>
    <t xml:space="preserve">EN290</t>
  </si>
  <si>
    <t xml:space="preserve">EN291</t>
  </si>
  <si>
    <t xml:space="preserve">EN292</t>
  </si>
  <si>
    <t xml:space="preserve">EN293</t>
  </si>
  <si>
    <t xml:space="preserve">Al publicar B55: actualizar B02</t>
  </si>
  <si>
    <t xml:space="preserve">EN294</t>
  </si>
  <si>
    <t xml:space="preserve">Al publicar B55: actualizar B20</t>
  </si>
  <si>
    <t xml:space="preserve">EN295</t>
  </si>
  <si>
    <t xml:space="preserve">Al publicar B55: actualizar B35</t>
  </si>
  <si>
    <t xml:space="preserve">EN296</t>
  </si>
  <si>
    <t xml:space="preserve">Al publicar B55: actualizar B46</t>
  </si>
  <si>
    <t xml:space="preserve">EN297</t>
  </si>
  <si>
    <t xml:space="preserve">Al publicar B55: actualizar B47</t>
  </si>
  <si>
    <t xml:space="preserve">EN298</t>
  </si>
  <si>
    <t xml:space="preserve">Al redactar B55</t>
  </si>
  <si>
    <t xml:space="preserve">EN299</t>
  </si>
  <si>
    <t xml:space="preserve">EN300</t>
  </si>
  <si>
    <t xml:space="preserve">EN301</t>
  </si>
  <si>
    <t xml:space="preserve">EN302</t>
  </si>
  <si>
    <t xml:space="preserve">EN303</t>
  </si>
  <si>
    <t xml:space="preserve">Al publicar B56: actualizar B02</t>
  </si>
  <si>
    <t xml:space="preserve">EN304</t>
  </si>
  <si>
    <t xml:space="preserve">Al publicar B56: actualizar B03</t>
  </si>
  <si>
    <t xml:space="preserve">EN305</t>
  </si>
  <si>
    <t xml:space="preserve">Al publicar B56: actualizar B08</t>
  </si>
  <si>
    <t xml:space="preserve">EN306</t>
  </si>
  <si>
    <t xml:space="preserve">Al publicar B56: actualizar B26</t>
  </si>
  <si>
    <t xml:space="preserve">EN307</t>
  </si>
  <si>
    <t xml:space="preserve">Al publicar B56: actualizar B28</t>
  </si>
  <si>
    <t xml:space="preserve">EN308</t>
  </si>
  <si>
    <t xml:space="preserve">Al publicar B56: actualizar B53</t>
  </si>
  <si>
    <t xml:space="preserve">EN309</t>
  </si>
  <si>
    <t xml:space="preserve">Al redactar B56</t>
  </si>
  <si>
    <t xml:space="preserve">EN310</t>
  </si>
  <si>
    <t xml:space="preserve">EN311</t>
  </si>
  <si>
    <t xml:space="preserve">EN312</t>
  </si>
  <si>
    <t xml:space="preserve">EN313</t>
  </si>
  <si>
    <t xml:space="preserve">EN314</t>
  </si>
  <si>
    <t xml:space="preserve">EN315</t>
  </si>
  <si>
    <t xml:space="preserve">Cuando se publique el artículo de Reserva</t>
  </si>
  <si>
    <t xml:space="preserve">EN316</t>
  </si>
  <si>
    <t xml:space="preserve">EN317</t>
  </si>
  <si>
    <t xml:space="preserve">EN318</t>
  </si>
  <si>
    <t xml:space="preserve">EN319</t>
  </si>
  <si>
    <t xml:space="preserve">EN320</t>
  </si>
  <si>
    <t xml:space="preserve">EN321</t>
  </si>
  <si>
    <t xml:space="preserve">EN322</t>
  </si>
  <si>
    <t xml:space="preserve">EN323</t>
  </si>
  <si>
    <t xml:space="preserve">EN324</t>
  </si>
  <si>
    <t xml:space="preserve">EN325</t>
  </si>
  <si>
    <t xml:space="preserve">EN326</t>
  </si>
  <si>
    <t xml:space="preserve">EN327</t>
  </si>
  <si>
    <t xml:space="preserve">EN328</t>
  </si>
  <si>
    <t xml:space="preserve">Resumen del backlog – Blog Ferretería 57</t>
  </si>
  <si>
    <t xml:space="preserve">Total programado</t>
  </si>
  <si>
    <t xml:space="preserve">Total</t>
  </si>
  <si>
    <t xml:space="preserve">Periodo</t>
  </si>
  <si>
    <t xml:space="preserve">Desde</t>
  </si>
  <si>
    <t xml:space="preserve">Hasta</t>
  </si>
  <si>
    <t xml:space="preserve">Artículos</t>
  </si>
  <si>
    <t xml:space="preserve">Incluidos en cuota (máx. 13/mes)</t>
  </si>
  <si>
    <t xml:space="preserve">Excedente sobre 13</t>
  </si>
  <si>
    <t xml:space="preserve">Observación</t>
  </si>
  <si>
    <t xml:space="preserve">Lanzamiento (vie 9-oct-2026)</t>
  </si>
  <si>
    <t xml:space="preserve">n/a</t>
  </si>
  <si>
    <t xml:space="preserve">8 artículos iniciales para poblar el blog; se asume parte de la integración.</t>
  </si>
  <si>
    <t xml:space="preserve">Octubre 2026 (ritmo regular desde 13-oct)</t>
  </si>
  <si>
    <t xml:space="preserve">Martes, jueves y sábado.</t>
  </si>
  <si>
    <t xml:space="preserve">5 martes y 5 jueves: 14 piezas. Jueves 24 y 31 son piezas ligeras; si se pasa una a Reserva queda en 13.</t>
  </si>
  <si>
    <t xml:space="preserve">Enero 2027 (hasta sáb 30-ene)</t>
  </si>
  <si>
    <t xml:space="preserve">Reserva (sin fecha)</t>
  </si>
  <si>
    <t xml:space="preserve">Total backlog</t>
  </si>
  <si>
    <t xml:space="preserve">Control: coincide con total por clúster</t>
  </si>
  <si>
    <t xml:space="preserve">Día de publicación</t>
  </si>
  <si>
    <t xml:space="preserve">Martes</t>
  </si>
  <si>
    <t xml:space="preserve">Jueves</t>
  </si>
  <si>
    <t xml:space="preserve">Viernes</t>
  </si>
  <si>
    <t xml:space="preserve">Sábado</t>
  </si>
  <si>
    <t xml:space="preserve">Borrador</t>
  </si>
  <si>
    <t xml:space="preserve">En revisión</t>
  </si>
  <si>
    <t xml:space="preserve">Programado</t>
  </si>
  <si>
    <t xml:space="preserve">Publicado</t>
  </si>
  <si>
    <t xml:space="preserve">Descartado</t>
  </si>
  <si>
    <t xml:space="preserve">Control de enlazado</t>
  </si>
  <si>
    <t xml:space="preserve">Valor</t>
  </si>
  <si>
    <t xml:space="preserve">Enlaces totales (ida y vuelta)</t>
  </si>
  <si>
    <t xml:space="preserve">Enlaces pendientes</t>
  </si>
  <si>
    <t xml:space="preserve">Artículos sin enlaces entrantes</t>
  </si>
  <si>
    <t xml:space="preserve">Artículos sin enlaces salientes</t>
  </si>
  <si>
    <t xml:space="preserve">Tema</t>
  </si>
  <si>
    <t xml:space="preserve">Especificación</t>
  </si>
  <si>
    <t xml:space="preserve">Alcance</t>
  </si>
  <si>
    <t xml:space="preserve">Blog de Ferretería 57 en ferreteria57.com/blog (dominio canónico sin www; www redirige a él). Objetivo: posicionamiento orgánico en Querétaro y autoridad técnica para dueños de ferreterías, oficios y personas comunes. El posicionamiento en primera página toma de 3 a 6 meses.</t>
  </si>
  <si>
    <t xml:space="preserve">Idioma y voz</t>
  </si>
  <si>
    <t xml:space="preserve">Español de México, trato de tú, claro y sin tecnicismos no explicados. Voz de ferretero experto y cercano. Sin promesas absolutas ni exageraciones. No denigrar marcas ni competidores.</t>
  </si>
  <si>
    <t xml:space="preserve">Autoría y confianza</t>
  </si>
  <si>
    <t xml:space="preserve">Autor visible: «Equipo Ferretería 57». Fecha de publicación y de última actualización visibles. Pie con aviso: la información es orientativa y no sustituye a un profesional en temas eléctricos, de gas o estructurales.</t>
  </si>
  <si>
    <t xml:space="preserve">Sin imágenes</t>
  </si>
  <si>
    <t xml:space="preserve">Los artículos no llevan fotografías ni imágenes generadas. Mismo estilo que https://agents.publifix.net/recursos: tipografía, tablas, listas, cajas de aviso y, cuando ayude, diagramas vectoriales (SVG/CSS) hechos en código. Las tablas son HTML semántico.</t>
  </si>
  <si>
    <t xml:space="preserve">URL</t>
  </si>
  <si>
    <t xml:space="preserve">/blog/{slug}. El slug está en la hoja «Briefs SEO», en minúsculas, sin acentos y con guiones. No cambiar el slug después de publicar; si es inevitable, redirección 301.</t>
  </si>
  <si>
    <t xml:space="preserve">Title tag</t>
  </si>
  <si>
    <t xml:space="preserve">Máximo 60 caracteres, incluye la keyword principal al inicio cuando sea natural. No se agrega sufijo de marca (la marca va en og:site_name). Validado en la hoja «Briefs SEO» (columna Car.).</t>
  </si>
  <si>
    <t xml:space="preserve">Meta description</t>
  </si>
  <si>
    <t xml:space="preserve">Entre 120 y 155 caracteres, con keyword y un beneficio claro. Validada en la hoja «Briefs SEO».</t>
  </si>
  <si>
    <t xml:space="preserve">Encabezados</t>
  </si>
  <si>
    <t xml:space="preserve">Un solo H1 (campo H1 del brief). Los H2 de la hoja son la estructura mínima; se pueden añadir H3. La keyword principal aparece en el H1, en el primer párrafo y en al menos un H2. Respuesta directa a la búsqueda en las primeras 100 palabras.</t>
  </si>
  <si>
    <t xml:space="preserve">Extensión</t>
  </si>
  <si>
    <t xml:space="preserve">Pilar 2.000–2.500 palabras; Fondo (martes) 1.500–2.000; Corto (jueves) 900–1.300; Fin de semana (sábado) 1.200–1.600. La calidad pesa más que la longitud: no rellenar.</t>
  </si>
  <si>
    <t xml:space="preserve">Sección FAQ</t>
  </si>
  <si>
    <t xml:space="preserve">Responder las preguntas de la columna «Preguntas frecuentes» al final del artículo, con respuestas de 40–80 palabras. Marcar con FAQPage (valor semántico; no se espera rich result en Google).</t>
  </si>
  <si>
    <t xml:space="preserve">BlogPosting (headline, description, datePublished, dateModified, author, publisher, mainEntityOfPage) + BreadcrumbList + FAQPage. Product/Offer no aplica dentro del blog.</t>
  </si>
  <si>
    <t xml:space="preserve">Open Graph y canonical</t>
  </si>
  <si>
    <t xml:space="preserve">og:title, og:description, og:type=article, og:url; canonical autorreferenciado. Imagen social: tarjeta vectorial de marca generada por código (sin fotografía), con el título del artículo.</t>
  </si>
  <si>
    <t xml:space="preserve">Enlazado interno</t>
  </si>
  <si>
    <t xml:space="preserve">Cada artículo enlaza a su pilar de clúster y a los artículos relacionados de la columna «Enlaces internos (ya publicados)», con texto ancla descriptivo (no «clic aquí»). Las relaciones son bidireccionales: al publicar un artículo hay que agregar también el enlace de vuelta desde los artículos ya publicados que aparecen en esa columna. La columna «Enlaces futuros» se completa cuando se publique el destino. La hoja «Mapa de enlaces» lista cada enlace (origen, destino, ancla sugerida y cuándo se agrega) y su estado Pendiente/Hecho.</t>
  </si>
  <si>
    <t xml:space="preserve">Enlaces a producto</t>
  </si>
  <si>
    <t xml:space="preserve">Dentro del texto y al final, enlazar a 3–6 productos o categorías reales del catálogo (columna «Productos / categorías a enlazar»). Verificar que existan; no inventar disponibilidad ni precios. En los artículos no se escriben precios fijos.</t>
  </si>
  <si>
    <t xml:space="preserve">Contenido sin verificación previa</t>
  </si>
  <si>
    <t xml:space="preserve">Ningún artículo requiere investigación previa. Se escribe con conocimiento general estable y se aplican tres reglas: 1) sin estadísticas, fechas, tarifas, precios ni números de norma; 2) toda cifra técnica específica (presión, temperatura, carga, rendimiento, tiempo de secado, corriente) se remite al empaque, la etiqueta, la ficha o el manual del producto, con frases como «revisa la etiqueta de tu producto»; 3) los ejemplos numéricos son ilustrativos y se declaran como supuesto. La columna «Regla de redacción» de cada tema indica qué remitir y qué evitar. Lo único que se consulta en el momento es el catálogo del sitio (productos a enlazar) y, en el artículo de Club 57, la configuración vigente del programa.</t>
  </si>
  <si>
    <t xml:space="preserve">Seguridad</t>
  </si>
  <si>
    <t xml:space="preserve">En temas eléctricos, de gas, alturas, corte y soldadura: aviso de seguridad visible al inicio, sin instrucciones que pongan en riesgo y con indicación clara de cuándo llamar a un profesional.</t>
  </si>
  <si>
    <t xml:space="preserve">Marcas</t>
  </si>
  <si>
    <t xml:space="preserve">El sitio vende la familia Truper (Truper, Pretul, Foset, Volteck, Fiero, Hermex, Klintek). Describir cada marca solo con lo que muestra el catálogo del sitio; no afirmar líneas ni garantías que no estén ahí. No nombrar marcas ajenas al catálogo (p. ej., pintura IPESA).</t>
  </si>
  <si>
    <t xml:space="preserve">Guía PDF</t>
  </si>
  <si>
    <t xml:space="preserve">Cada artículo tiene una guía práctica descargable (hoja «Guías PDF»). Se entrega solo a miembros de Club 57 (al registrarse o iniciar sesión), no está abierta al público. En el artículo se muestra el CTA de la columna «CTA hacia Club 57». Formato: 1–2 páginas tamaño carta, marca Ferretería 57 (naranja #FF6600, pizarra #3F515A, negro #1A1A1A, gris claro #F2F1EF; Russo One para títulos, Inter para texto), sin fotografías: tablas, checklists y diagramas vectoriales. Pie con datos de tienda y recordatorio de Club 57.</t>
  </si>
  <si>
    <t xml:space="preserve">Datos de la tienda</t>
  </si>
  <si>
    <t xml:space="preserve">Lateral Carretera Federal No. 57 230, Casa Blanca, 76030 Santiago de Querétaro. Tel. 442 778 2708. Horario: lunes a viernes 8:00–19:00, sábado 8:00–15:00, domingo cerrado. Redes: ferreteria57qro (Facebook e Instagram).</t>
  </si>
  <si>
    <t xml:space="preserve">Calendario</t>
  </si>
  <si>
    <t xml:space="preserve">Lanzamiento: 8 artículos publicados juntos el viernes 9-oct-2026 (fecha ajustable). Ritmo regular: martes, jueves y sábado a partir del martes 13-oct-2026. Última fecha programada: sábado 30-ene-2027. Publicación sugerida a las 8:00 (hora de Ciudad de México).</t>
  </si>
  <si>
    <t xml:space="preserve">Programación (propuesta para el módulo)</t>
  </si>
  <si>
    <t xml:space="preserve">Cada artículo guarda su fecha/hora de publicación (publishAt). El blog solo muestra artículos con publishAt ≤ ahora y el sitemap solo incluye esos. Una tarea programada diaria (Vercel Cron o equivalente) revalida el blog y el sitemap, y cambia el estado a «Publicado». Si el plan de hosting limita la frecuencia de los crons, usar revalidación por tiempo. Decisión de arquitectura pendiente para la ronda del módulo.</t>
  </si>
  <si>
    <t xml:space="preserve">Indexación</t>
  </si>
  <si>
    <t xml:space="preserve">Al publicar: confirmar que la URL está en sitemap.xml, probar la URL en Search Console (Inspección de URLs) y solicitar indexación. Revisar la cobertura a los 7 y 30 días. Las keywords de este archivo son hipótesis sin volumen validado: contrastar con Search Console y una herramienta de palabras clave.</t>
  </si>
  <si>
    <t xml:space="preserve">Definición de «hecho»</t>
  </si>
  <si>
    <t xml:space="preserve">1) Regla de redacción cumplida (sin cifras no respaldadas). 2) Title y meta dentro de los límites. 3) H1/H2 conforme al brief. 4) Enlaces internos ida y vuelta y enlaces a producto reales. 5) FAQ respondida. 6) PDF generado, revisado y cargado. 7) Schema válido. 8) Revisión en vista previa. 9) Estado actualizado en la hoja Backlog.</t>
  </si>
  <si>
    <t xml:space="preserve">Instrucción</t>
  </si>
  <si>
    <t xml:space="preserve">Cómo usar este archivo</t>
  </si>
  <si>
    <t xml:space="preserve">Este Excel es la fuente de verdad del backlog del blog. Hojas: Backlog (estado y calendario), Briefs SEO (todo lo necesario para redactar), Guías PDF (entregables para Club 57), Especificaciones (reglas globales), Resumen (control).</t>
  </si>
  <si>
    <t xml:space="preserve">Siguiente artículo</t>
  </si>
  <si>
    <t xml:space="preserve">Tomar la fila de la hoja Backlog con menor fecha cuyo Estado sea «Backlog» o «Brief listo». Los 8 de Lanzamiento tienen la misma fecha: ejecutarlos en el orden de los IDs (B01 a B08). Al terminar el primer backlog se carga un segundo archivo con el mismo formato.</t>
  </si>
  <si>
    <t xml:space="preserve">Flujo por artículo</t>
  </si>
  <si>
    <t xml:space="preserve">1) Leer la fila en Backlog, Briefs SEO y Guías PDF. 2) Leer la «Regla de redacción» de la fila y respetarla (no se investiga: se remite a etiqueta o ficha). 3) Revisar en el catálogo los productos a enlazar. 4) Redactar el artículo con la estructura del brief. 5) Crear la guía PDF. 6) Agregar enlaces internos ida y vuelta. 7) Validar title/meta/schema. 8) Dejar la pieza con su fecha de publicación programada. 9) Actualizar el Estado.</t>
  </si>
  <si>
    <t xml:space="preserve">Estados</t>
  </si>
  <si>
    <t xml:space="preserve">Backlog → Brief listo → Borrador → En revisión → Programado → Publicado (o Descartado). La lista desplegable de la columna Estado se puede cargar tal cual a la tabla de temas del módulo.</t>
  </si>
  <si>
    <t xml:space="preserve">Tabla de temas del módulo (siguiente ronda)</t>
  </si>
  <si>
    <t xml:space="preserve">La hoja Backlog puede sembrar una tabla (p. ej. blog_topics) con las columnas: ID, Etapa, Fecha, Clúster, Rol, Tipo, Título, Keyword, Intención, Audiencia, Estado, Guía PDF. El admin /blog solo marca el estado y consulta el backlog; no crea artículos.</t>
  </si>
  <si>
    <t xml:space="preserve">Aprobaciones pendientes antes de publicar</t>
  </si>
  <si>
    <t xml:space="preserve">Ninguna es obligatoria para empezar. Solo conviene que el cliente apruebe los 3 temas propuestos por Claude (B01, B02 y B10; columna Origen); si no responde, se publican igual porque no dependen de datos externos. Decisiones ya tomadas: no se nombra IPESA (B08) y «diablito» (B15) se trata solo como riesgo y solución segura.</t>
  </si>
  <si>
    <t xml:space="preserve">Prompt sugerido para iniciar</t>
  </si>
  <si>
    <t xml:space="preserve">«Lee el archivo backlog_blog_ferreteria57.xlsx. Ubica el siguiente artículo según la hoja Backlog (menor fecha con Estado Backlog o Brief listo). Sigue la hoja Especificaciones y el flujo de la hoja Claude Code. Respeta la «Regla de redacción» (sin investigar ni citar cifras no respaldadas), enlaza solo productos que existan en el catálogo, y muéstrame el borrador del artículo y de su guía PDF para revisión antes de programarlos.»</t>
  </si>
  <si>
    <t xml:space="preserve">Nota</t>
  </si>
  <si>
    <t xml:space="preserve">Lanzamiento el viernes 9-oct-2026 con 8 artículos publicados el mismo día (fecha de referencia; se puede mover sin afectar el resto). Ritmo regular de 3 por semana en martes (fondo), jueves (corto) y sábado (fin de semana/proyecto DIY) del 13-oct-2026 al 30-ene-2027. La memoria del proyecto indica «3 por semana» pero no deja confirmados los días: martes, jueves y sábado es una propuesta a confirmar.</t>
  </si>
  <si>
    <t xml:space="preserve">Cobertura</t>
  </si>
  <si>
    <t xml:space="preserve">Cubre hasta el 31-ene-2027 (última fecha: sábado 30-ene). 58 temas: 56 programados y 2 en Reserva (jardín en primavera y comparativa de impermeabilizantes, para publicarse en feb–mar 2027, antes de la temporada de lluvias).</t>
  </si>
  <si>
    <t xml:space="preserve">Tope de 13 artículos al mes</t>
  </si>
  <si>
    <t xml:space="preserve">La cuota mensual incluye hasta 13 artículos con PDF al mes. Octubre tiene 9 (más los 8 de lanzamiento), noviembre 12, diciembre 14 y enero 13. Diciembre excede en 1: si se prefiere ajustarlo, mover B43 (jueves 31-dic) a Reserva. Confirmar si los 8 de lanzamiento forman parte del fee de integración.</t>
  </si>
  <si>
    <t xml:space="preserve">Temas agregados por Claude</t>
  </si>
  <si>
    <t xml:space="preserve">De las 55 ideas del cliente, todas están en el backlog. Se agregaron 3 piezas para cerrar huecos: B01 (guía de marcas Truper), B02 (kit básico de herramientas del hogar) y B10 (Club 57, conversión al registro). Están marcadas en la columna Origen y requieren aprobación del cliente.</t>
  </si>
  <si>
    <t xml:space="preserve">Orden y estacionalidad</t>
  </si>
  <si>
    <t xml:space="preserve">Los 8 de lanzamiento son pilares de cada clúster. Después se cuidó la estacionalidad: calentadores y boiler antes del frío (finales de octubre), soporte de TV antes de la temporada de ofertas de noviembre (sin citar fechas), seguridad y cajuela antes de vacaciones de diciembre, centro de carga en plena temporada de luces navideñas, y piezas ligeras el 24, 26 y 31 de diciembre.</t>
  </si>
  <si>
    <t xml:space="preserve">Keywords</t>
  </si>
  <si>
    <t xml:space="preserve">Son hipótesis sin volumen validado. Contrastar con Search Console y una herramienta de palabras clave antes de redactar. Se prefirieron keywords de intención clara y long-tail locales.</t>
  </si>
  <si>
    <t xml:space="preserve">Sin verificación previa</t>
  </si>
  <si>
    <t xml:space="preserve">Para no retrasar el lanzamiento, ningún tema depende de investigación o verificación: los artículos usan conocimiento general estable, no citan números de norma, estadísticas, fechas ni tarifas, y remiten al empaque, etiqueta o ficha para cualquier cifra técnica específica. Cada tema tiene su «Regla de redacción».</t>
  </si>
  <si>
    <t xml:space="preserve">Decisiones ya tomadas (no bloquean)</t>
  </si>
  <si>
    <t xml:space="preserve">1) «Diablito» (B15): se trata solo como riesgo y solución segura, sin instrucciones de conexiones clandestinas. 2) IPESA (B08): no se nombra ninguna marca de pintura ajena al catálogo. 3) Marcas Truper (B01): se describen solo con lo que muestra el catálogo del sitio. 4) Artículos para dueños de ferreterías (B27 inventarios y B33 merchandising): se escriben con criterio general, sin datos internos de la tienda.</t>
  </si>
  <si>
    <t xml:space="preserve">Activos con potencial de enlaces</t>
  </si>
  <si>
    <t xml:space="preserve">El cálculo de pintura/impermeabilizante y la tabla de conversión mm/pulgadas podrían convertirse en calculadoras interactivas en el sitio. Requieren desarrollo adicional.</t>
  </si>
  <si>
    <t xml:space="preserve">Formato del Estado</t>
  </si>
  <si>
    <t xml:space="preserve">La columna Estado tiene lista desplegable: Backlog, Brief listo, Borrador, En revisión, Programado, Publicado, Descartado.</t>
  </si>
</sst>
</file>

<file path=xl/styles.xml><?xml version="1.0" encoding="utf-8"?>
<styleSheet xmlns="http://schemas.openxmlformats.org/spreadsheetml/2006/main">
  <numFmts count="2">
    <numFmt numFmtId="164" formatCode="General"/>
    <numFmt numFmtId="165" formatCode="dd/mm/yyyy"/>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name val="Arial"/>
      <family val="0"/>
      <charset val="1"/>
    </font>
    <font>
      <sz val="10"/>
      <name val="Arial"/>
      <family val="0"/>
      <charset val="1"/>
    </font>
    <font>
      <b val="true"/>
      <sz val="14"/>
      <name val="Arial"/>
      <family val="0"/>
      <charset val="1"/>
    </font>
  </fonts>
  <fills count="5">
    <fill>
      <patternFill patternType="none"/>
    </fill>
    <fill>
      <patternFill patternType="gray125"/>
    </fill>
    <fill>
      <patternFill patternType="solid">
        <fgColor rgb="FF3F515A"/>
        <bgColor rgb="FF333399"/>
      </patternFill>
    </fill>
    <fill>
      <patternFill patternType="solid">
        <fgColor rgb="FFFFF1E6"/>
        <bgColor rgb="FFEEEEEE"/>
      </patternFill>
    </fill>
    <fill>
      <patternFill patternType="solid">
        <fgColor rgb="FFEEEEEE"/>
        <bgColor rgb="FFFFF1E6"/>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5" fontId="6" fillId="3"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5" fontId="6" fillId="4"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3F515A"/>
          <bgColor rgb="FF000000"/>
        </patternFill>
      </fill>
    </dxf>
    <dxf>
      <fill>
        <patternFill patternType="solid">
          <fgColor rgb="FFEEEEEE"/>
          <bgColor rgb="FF000000"/>
        </patternFill>
      </fill>
    </dxf>
    <dxf>
      <fill>
        <patternFill patternType="solid">
          <fgColor rgb="FFFFF1E6"/>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1E6"/>
      <rgbColor rgb="FFEEEEEE"/>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F51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9"/>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12"/>
    <col collapsed="false" customWidth="true" hidden="false" outlineLevel="0" max="4" min="4" style="0" width="11"/>
    <col collapsed="false" customWidth="true" hidden="false" outlineLevel="0" max="5" min="5" style="0" width="26"/>
    <col collapsed="false" customWidth="true" hidden="false" outlineLevel="0" max="6" min="6" style="0" width="16"/>
    <col collapsed="false" customWidth="true" hidden="false" outlineLevel="0" max="7" min="7" style="0" width="13"/>
    <col collapsed="false" customWidth="true" hidden="false" outlineLevel="0" max="8" min="8" style="0" width="52"/>
    <col collapsed="false" customWidth="true" hidden="false" outlineLevel="0" max="9" min="9" style="0" width="30"/>
    <col collapsed="false" customWidth="true" hidden="false" outlineLevel="0" max="10" min="10" style="0" width="18"/>
    <col collapsed="false" customWidth="true" hidden="false" outlineLevel="0" max="11" min="11" style="0" width="12"/>
    <col collapsed="false" customWidth="true" hidden="false" outlineLevel="0" max="13" min="12" style="0" width="50"/>
    <col collapsed="false" customWidth="true" hidden="false" outlineLevel="0" max="14" min="14" style="0" width="38"/>
    <col collapsed="false" customWidth="true" hidden="false" outlineLevel="0" max="15" min="15" style="0" width="26"/>
    <col collapsed="false" customWidth="true" hidden="false" outlineLevel="0" max="16" min="16" style="0" width="13"/>
    <col collapsed="false" customWidth="true" hidden="false" outlineLevel="0" max="17" min="17" style="0" width="45"/>
    <col collapsed="false" customWidth="true" hidden="false" outlineLevel="0" max="18" min="18" style="0" width="50"/>
  </cols>
  <sheetData>
    <row r="1" customFormat="false" ht="33.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57" hidden="false" customHeight="true" outlineLevel="0" collapsed="false">
      <c r="A2" s="2" t="s">
        <v>18</v>
      </c>
      <c r="B2" s="3" t="s">
        <v>19</v>
      </c>
      <c r="C2" s="4" t="n">
        <v>46304</v>
      </c>
      <c r="D2" s="3" t="s">
        <v>20</v>
      </c>
      <c r="E2" s="5" t="s">
        <v>21</v>
      </c>
      <c r="F2" s="3" t="s">
        <v>22</v>
      </c>
      <c r="G2" s="3" t="s">
        <v>22</v>
      </c>
      <c r="H2" s="5" t="s">
        <v>23</v>
      </c>
      <c r="I2" s="5" t="s">
        <v>24</v>
      </c>
      <c r="J2" s="5" t="s">
        <v>25</v>
      </c>
      <c r="K2" s="3" t="s">
        <v>26</v>
      </c>
      <c r="L2" s="5" t="s">
        <v>27</v>
      </c>
      <c r="M2" s="5" t="s">
        <v>28</v>
      </c>
      <c r="N2" s="5" t="s">
        <v>29</v>
      </c>
      <c r="O2" s="5" t="s">
        <v>30</v>
      </c>
      <c r="P2" s="3" t="s">
        <v>31</v>
      </c>
      <c r="Q2" s="5" t="s">
        <v>32</v>
      </c>
      <c r="R2" s="5" t="s">
        <v>33</v>
      </c>
    </row>
    <row r="3" customFormat="false" ht="44.25" hidden="false" customHeight="true" outlineLevel="0" collapsed="false">
      <c r="A3" s="2" t="s">
        <v>34</v>
      </c>
      <c r="B3" s="3" t="s">
        <v>19</v>
      </c>
      <c r="C3" s="4" t="n">
        <v>46304</v>
      </c>
      <c r="D3" s="3" t="s">
        <v>20</v>
      </c>
      <c r="E3" s="5" t="s">
        <v>35</v>
      </c>
      <c r="F3" s="3" t="s">
        <v>22</v>
      </c>
      <c r="G3" s="3" t="s">
        <v>22</v>
      </c>
      <c r="H3" s="5" t="s">
        <v>36</v>
      </c>
      <c r="I3" s="5" t="s">
        <v>37</v>
      </c>
      <c r="J3" s="5" t="s">
        <v>25</v>
      </c>
      <c r="K3" s="3" t="s">
        <v>38</v>
      </c>
      <c r="L3" s="5" t="s">
        <v>39</v>
      </c>
      <c r="M3" s="5" t="s">
        <v>40</v>
      </c>
      <c r="N3" s="5" t="s">
        <v>41</v>
      </c>
      <c r="O3" s="5" t="s">
        <v>30</v>
      </c>
      <c r="P3" s="3" t="s">
        <v>31</v>
      </c>
      <c r="Q3" s="5" t="s">
        <v>32</v>
      </c>
      <c r="R3" s="5" t="s">
        <v>42</v>
      </c>
    </row>
    <row r="4" customFormat="false" ht="57" hidden="false" customHeight="true" outlineLevel="0" collapsed="false">
      <c r="A4" s="2" t="s">
        <v>43</v>
      </c>
      <c r="B4" s="3" t="s">
        <v>19</v>
      </c>
      <c r="C4" s="4" t="n">
        <v>46304</v>
      </c>
      <c r="D4" s="3" t="s">
        <v>20</v>
      </c>
      <c r="E4" s="5" t="s">
        <v>44</v>
      </c>
      <c r="F4" s="3" t="s">
        <v>22</v>
      </c>
      <c r="G4" s="3" t="s">
        <v>22</v>
      </c>
      <c r="H4" s="5" t="s">
        <v>45</v>
      </c>
      <c r="I4" s="5" t="s">
        <v>46</v>
      </c>
      <c r="J4" s="5" t="s">
        <v>47</v>
      </c>
      <c r="K4" s="3" t="s">
        <v>26</v>
      </c>
      <c r="L4" s="5" t="s">
        <v>48</v>
      </c>
      <c r="M4" s="5" t="s">
        <v>49</v>
      </c>
      <c r="N4" s="5" t="s">
        <v>50</v>
      </c>
      <c r="O4" s="5" t="s">
        <v>51</v>
      </c>
      <c r="P4" s="3" t="s">
        <v>31</v>
      </c>
      <c r="Q4" s="5" t="s">
        <v>45</v>
      </c>
      <c r="R4" s="5" t="s">
        <v>52</v>
      </c>
    </row>
    <row r="5" customFormat="false" ht="57" hidden="false" customHeight="true" outlineLevel="0" collapsed="false">
      <c r="A5" s="2" t="s">
        <v>53</v>
      </c>
      <c r="B5" s="3" t="s">
        <v>19</v>
      </c>
      <c r="C5" s="4" t="n">
        <v>46304</v>
      </c>
      <c r="D5" s="3" t="s">
        <v>20</v>
      </c>
      <c r="E5" s="5" t="s">
        <v>54</v>
      </c>
      <c r="F5" s="3" t="s">
        <v>22</v>
      </c>
      <c r="G5" s="3" t="s">
        <v>22</v>
      </c>
      <c r="H5" s="5" t="s">
        <v>55</v>
      </c>
      <c r="I5" s="5" t="s">
        <v>56</v>
      </c>
      <c r="J5" s="5" t="s">
        <v>25</v>
      </c>
      <c r="K5" s="3" t="s">
        <v>26</v>
      </c>
      <c r="L5" s="5" t="s">
        <v>57</v>
      </c>
      <c r="M5" s="5" t="s">
        <v>58</v>
      </c>
      <c r="N5" s="5" t="s">
        <v>59</v>
      </c>
      <c r="O5" s="5" t="s">
        <v>60</v>
      </c>
      <c r="P5" s="3" t="s">
        <v>31</v>
      </c>
      <c r="Q5" s="5" t="s">
        <v>61</v>
      </c>
      <c r="R5" s="5" t="s">
        <v>62</v>
      </c>
    </row>
    <row r="6" customFormat="false" ht="57" hidden="false" customHeight="true" outlineLevel="0" collapsed="false">
      <c r="A6" s="2" t="s">
        <v>63</v>
      </c>
      <c r="B6" s="3" t="s">
        <v>19</v>
      </c>
      <c r="C6" s="4" t="n">
        <v>46304</v>
      </c>
      <c r="D6" s="3" t="s">
        <v>20</v>
      </c>
      <c r="E6" s="5" t="s">
        <v>64</v>
      </c>
      <c r="F6" s="3" t="s">
        <v>22</v>
      </c>
      <c r="G6" s="3" t="s">
        <v>22</v>
      </c>
      <c r="H6" s="5" t="s">
        <v>65</v>
      </c>
      <c r="I6" s="5" t="s">
        <v>66</v>
      </c>
      <c r="J6" s="5" t="s">
        <v>25</v>
      </c>
      <c r="K6" s="3" t="s">
        <v>26</v>
      </c>
      <c r="L6" s="5" t="s">
        <v>67</v>
      </c>
      <c r="M6" s="5" t="s">
        <v>68</v>
      </c>
      <c r="N6" s="5" t="s">
        <v>69</v>
      </c>
      <c r="O6" s="5" t="s">
        <v>70</v>
      </c>
      <c r="P6" s="3" t="s">
        <v>31</v>
      </c>
      <c r="Q6" s="5" t="s">
        <v>71</v>
      </c>
      <c r="R6" s="5" t="s">
        <v>72</v>
      </c>
    </row>
    <row r="7" customFormat="false" ht="44.25" hidden="false" customHeight="true" outlineLevel="0" collapsed="false">
      <c r="A7" s="2" t="s">
        <v>73</v>
      </c>
      <c r="B7" s="3" t="s">
        <v>19</v>
      </c>
      <c r="C7" s="4" t="n">
        <v>46304</v>
      </c>
      <c r="D7" s="3" t="s">
        <v>20</v>
      </c>
      <c r="E7" s="5" t="s">
        <v>74</v>
      </c>
      <c r="F7" s="3" t="s">
        <v>22</v>
      </c>
      <c r="G7" s="3" t="s">
        <v>22</v>
      </c>
      <c r="H7" s="5" t="s">
        <v>75</v>
      </c>
      <c r="I7" s="5" t="s">
        <v>76</v>
      </c>
      <c r="J7" s="5" t="s">
        <v>25</v>
      </c>
      <c r="K7" s="3" t="s">
        <v>26</v>
      </c>
      <c r="L7" s="5" t="s">
        <v>77</v>
      </c>
      <c r="M7" s="5" t="s">
        <v>78</v>
      </c>
      <c r="N7" s="5" t="s">
        <v>79</v>
      </c>
      <c r="O7" s="5" t="s">
        <v>80</v>
      </c>
      <c r="P7" s="3" t="s">
        <v>31</v>
      </c>
      <c r="Q7" s="5" t="s">
        <v>81</v>
      </c>
      <c r="R7" s="5" t="s">
        <v>82</v>
      </c>
    </row>
    <row r="8" customFormat="false" ht="57" hidden="false" customHeight="true" outlineLevel="0" collapsed="false">
      <c r="A8" s="2" t="s">
        <v>83</v>
      </c>
      <c r="B8" s="3" t="s">
        <v>19</v>
      </c>
      <c r="C8" s="4" t="n">
        <v>46304</v>
      </c>
      <c r="D8" s="3" t="s">
        <v>20</v>
      </c>
      <c r="E8" s="5" t="s">
        <v>54</v>
      </c>
      <c r="F8" s="3" t="s">
        <v>22</v>
      </c>
      <c r="G8" s="3" t="s">
        <v>22</v>
      </c>
      <c r="H8" s="5" t="s">
        <v>84</v>
      </c>
      <c r="I8" s="5" t="s">
        <v>85</v>
      </c>
      <c r="J8" s="5" t="s">
        <v>25</v>
      </c>
      <c r="K8" s="3" t="s">
        <v>26</v>
      </c>
      <c r="L8" s="5" t="s">
        <v>86</v>
      </c>
      <c r="M8" s="5" t="s">
        <v>87</v>
      </c>
      <c r="N8" s="5" t="s">
        <v>88</v>
      </c>
      <c r="O8" s="5" t="s">
        <v>89</v>
      </c>
      <c r="P8" s="3" t="s">
        <v>31</v>
      </c>
      <c r="Q8" s="5" t="s">
        <v>90</v>
      </c>
      <c r="R8" s="5" t="s">
        <v>91</v>
      </c>
    </row>
    <row r="9" customFormat="false" ht="57" hidden="false" customHeight="true" outlineLevel="0" collapsed="false">
      <c r="A9" s="2" t="s">
        <v>92</v>
      </c>
      <c r="B9" s="3" t="s">
        <v>19</v>
      </c>
      <c r="C9" s="4" t="n">
        <v>46304</v>
      </c>
      <c r="D9" s="3" t="s">
        <v>20</v>
      </c>
      <c r="E9" s="5" t="s">
        <v>74</v>
      </c>
      <c r="F9" s="3" t="s">
        <v>22</v>
      </c>
      <c r="G9" s="3" t="s">
        <v>22</v>
      </c>
      <c r="H9" s="5" t="s">
        <v>93</v>
      </c>
      <c r="I9" s="5" t="s">
        <v>94</v>
      </c>
      <c r="J9" s="5" t="s">
        <v>47</v>
      </c>
      <c r="K9" s="3" t="s">
        <v>26</v>
      </c>
      <c r="L9" s="5" t="s">
        <v>95</v>
      </c>
      <c r="M9" s="5" t="s">
        <v>96</v>
      </c>
      <c r="N9" s="5" t="s">
        <v>97</v>
      </c>
      <c r="O9" s="5" t="s">
        <v>98</v>
      </c>
      <c r="P9" s="3" t="s">
        <v>31</v>
      </c>
      <c r="Q9" s="5" t="s">
        <v>99</v>
      </c>
      <c r="R9" s="5" t="s">
        <v>100</v>
      </c>
    </row>
    <row r="10" customFormat="false" ht="44.25" hidden="false" customHeight="true" outlineLevel="0" collapsed="false">
      <c r="A10" s="6" t="s">
        <v>101</v>
      </c>
      <c r="B10" s="7" t="s">
        <v>102</v>
      </c>
      <c r="C10" s="8" t="n">
        <v>46308</v>
      </c>
      <c r="D10" s="7" t="s">
        <v>103</v>
      </c>
      <c r="E10" s="9" t="s">
        <v>44</v>
      </c>
      <c r="F10" s="7" t="s">
        <v>104</v>
      </c>
      <c r="G10" s="7" t="s">
        <v>105</v>
      </c>
      <c r="H10" s="9" t="s">
        <v>106</v>
      </c>
      <c r="I10" s="9" t="s">
        <v>107</v>
      </c>
      <c r="J10" s="9" t="s">
        <v>47</v>
      </c>
      <c r="K10" s="7" t="s">
        <v>26</v>
      </c>
      <c r="L10" s="9" t="s">
        <v>108</v>
      </c>
      <c r="M10" s="9" t="s">
        <v>109</v>
      </c>
      <c r="N10" s="9" t="s">
        <v>110</v>
      </c>
      <c r="O10" s="9" t="s">
        <v>111</v>
      </c>
      <c r="P10" s="7" t="s">
        <v>31</v>
      </c>
      <c r="Q10" s="9" t="s">
        <v>112</v>
      </c>
      <c r="R10" s="9" t="s">
        <v>113</v>
      </c>
    </row>
    <row r="11" customFormat="false" ht="44.25" hidden="false" customHeight="true" outlineLevel="0" collapsed="false">
      <c r="A11" s="6" t="s">
        <v>114</v>
      </c>
      <c r="B11" s="7" t="s">
        <v>102</v>
      </c>
      <c r="C11" s="8" t="n">
        <v>46310</v>
      </c>
      <c r="D11" s="7" t="s">
        <v>115</v>
      </c>
      <c r="E11" s="9" t="s">
        <v>21</v>
      </c>
      <c r="F11" s="7" t="s">
        <v>116</v>
      </c>
      <c r="G11" s="7" t="s">
        <v>117</v>
      </c>
      <c r="H11" s="9" t="s">
        <v>118</v>
      </c>
      <c r="I11" s="9" t="s">
        <v>119</v>
      </c>
      <c r="J11" s="9" t="s">
        <v>25</v>
      </c>
      <c r="K11" s="7" t="s">
        <v>38</v>
      </c>
      <c r="L11" s="9" t="s">
        <v>120</v>
      </c>
      <c r="M11" s="9" t="s">
        <v>121</v>
      </c>
      <c r="N11" s="9" t="s">
        <v>122</v>
      </c>
      <c r="O11" s="9" t="s">
        <v>30</v>
      </c>
      <c r="P11" s="7" t="s">
        <v>31</v>
      </c>
      <c r="Q11" s="9" t="s">
        <v>32</v>
      </c>
      <c r="R11" s="9" t="s">
        <v>123</v>
      </c>
    </row>
    <row r="12" customFormat="false" ht="44.25" hidden="false" customHeight="true" outlineLevel="0" collapsed="false">
      <c r="A12" s="6" t="s">
        <v>124</v>
      </c>
      <c r="B12" s="7" t="s">
        <v>102</v>
      </c>
      <c r="C12" s="8" t="n">
        <v>46312</v>
      </c>
      <c r="D12" s="7" t="s">
        <v>125</v>
      </c>
      <c r="E12" s="9" t="s">
        <v>54</v>
      </c>
      <c r="F12" s="7" t="s">
        <v>104</v>
      </c>
      <c r="G12" s="7" t="s">
        <v>126</v>
      </c>
      <c r="H12" s="9" t="s">
        <v>127</v>
      </c>
      <c r="I12" s="9" t="s">
        <v>128</v>
      </c>
      <c r="J12" s="9" t="s">
        <v>47</v>
      </c>
      <c r="K12" s="7" t="s">
        <v>26</v>
      </c>
      <c r="L12" s="9" t="s">
        <v>129</v>
      </c>
      <c r="M12" s="9" t="s">
        <v>130</v>
      </c>
      <c r="N12" s="9" t="s">
        <v>131</v>
      </c>
      <c r="O12" s="9" t="s">
        <v>132</v>
      </c>
      <c r="P12" s="7" t="s">
        <v>31</v>
      </c>
      <c r="Q12" s="9" t="s">
        <v>133</v>
      </c>
      <c r="R12" s="9" t="s">
        <v>134</v>
      </c>
    </row>
    <row r="13" customFormat="false" ht="44.25" hidden="false" customHeight="true" outlineLevel="0" collapsed="false">
      <c r="A13" s="6" t="s">
        <v>135</v>
      </c>
      <c r="B13" s="7" t="s">
        <v>102</v>
      </c>
      <c r="C13" s="8" t="n">
        <v>46315</v>
      </c>
      <c r="D13" s="7" t="s">
        <v>103</v>
      </c>
      <c r="E13" s="9" t="s">
        <v>136</v>
      </c>
      <c r="F13" s="7" t="s">
        <v>22</v>
      </c>
      <c r="G13" s="7" t="s">
        <v>105</v>
      </c>
      <c r="H13" s="9" t="s">
        <v>137</v>
      </c>
      <c r="I13" s="9" t="s">
        <v>138</v>
      </c>
      <c r="J13" s="9" t="s">
        <v>25</v>
      </c>
      <c r="K13" s="7" t="s">
        <v>26</v>
      </c>
      <c r="L13" s="9" t="s">
        <v>139</v>
      </c>
      <c r="M13" s="9" t="s">
        <v>140</v>
      </c>
      <c r="N13" s="9" t="s">
        <v>141</v>
      </c>
      <c r="O13" s="9" t="s">
        <v>142</v>
      </c>
      <c r="P13" s="7" t="s">
        <v>31</v>
      </c>
      <c r="Q13" s="9" t="s">
        <v>143</v>
      </c>
      <c r="R13" s="9" t="s">
        <v>144</v>
      </c>
    </row>
    <row r="14" customFormat="false" ht="44.25" hidden="false" customHeight="true" outlineLevel="0" collapsed="false">
      <c r="A14" s="6" t="s">
        <v>145</v>
      </c>
      <c r="B14" s="7" t="s">
        <v>102</v>
      </c>
      <c r="C14" s="8" t="n">
        <v>46317</v>
      </c>
      <c r="D14" s="7" t="s">
        <v>115</v>
      </c>
      <c r="E14" s="9" t="s">
        <v>54</v>
      </c>
      <c r="F14" s="7" t="s">
        <v>104</v>
      </c>
      <c r="G14" s="7" t="s">
        <v>117</v>
      </c>
      <c r="H14" s="9" t="s">
        <v>146</v>
      </c>
      <c r="I14" s="9" t="s">
        <v>147</v>
      </c>
      <c r="J14" s="9" t="s">
        <v>47</v>
      </c>
      <c r="K14" s="7" t="s">
        <v>26</v>
      </c>
      <c r="L14" s="9" t="s">
        <v>148</v>
      </c>
      <c r="M14" s="9" t="s">
        <v>149</v>
      </c>
      <c r="N14" s="9" t="s">
        <v>150</v>
      </c>
      <c r="O14" s="9" t="s">
        <v>151</v>
      </c>
      <c r="P14" s="7" t="s">
        <v>31</v>
      </c>
      <c r="Q14" s="9" t="s">
        <v>152</v>
      </c>
      <c r="R14" s="9" t="s">
        <v>153</v>
      </c>
    </row>
    <row r="15" customFormat="false" ht="44.25" hidden="false" customHeight="true" outlineLevel="0" collapsed="false">
      <c r="A15" s="6" t="s">
        <v>154</v>
      </c>
      <c r="B15" s="7" t="s">
        <v>102</v>
      </c>
      <c r="C15" s="8" t="n">
        <v>46319</v>
      </c>
      <c r="D15" s="7" t="s">
        <v>125</v>
      </c>
      <c r="E15" s="9" t="s">
        <v>54</v>
      </c>
      <c r="F15" s="7" t="s">
        <v>104</v>
      </c>
      <c r="G15" s="7" t="s">
        <v>126</v>
      </c>
      <c r="H15" s="9" t="s">
        <v>155</v>
      </c>
      <c r="I15" s="9" t="s">
        <v>156</v>
      </c>
      <c r="J15" s="9" t="s">
        <v>47</v>
      </c>
      <c r="K15" s="7" t="s">
        <v>26</v>
      </c>
      <c r="L15" s="9" t="s">
        <v>157</v>
      </c>
      <c r="M15" s="9" t="s">
        <v>158</v>
      </c>
      <c r="N15" s="9" t="s">
        <v>159</v>
      </c>
      <c r="O15" s="9" t="s">
        <v>160</v>
      </c>
      <c r="P15" s="7" t="s">
        <v>31</v>
      </c>
      <c r="Q15" s="9" t="s">
        <v>161</v>
      </c>
      <c r="R15" s="9" t="s">
        <v>162</v>
      </c>
    </row>
    <row r="16" customFormat="false" ht="44.25" hidden="false" customHeight="true" outlineLevel="0" collapsed="false">
      <c r="A16" s="6" t="s">
        <v>163</v>
      </c>
      <c r="B16" s="7" t="s">
        <v>102</v>
      </c>
      <c r="C16" s="8" t="n">
        <v>46322</v>
      </c>
      <c r="D16" s="7" t="s">
        <v>103</v>
      </c>
      <c r="E16" s="9" t="s">
        <v>64</v>
      </c>
      <c r="F16" s="7" t="s">
        <v>104</v>
      </c>
      <c r="G16" s="7" t="s">
        <v>105</v>
      </c>
      <c r="H16" s="9" t="s">
        <v>164</v>
      </c>
      <c r="I16" s="9" t="s">
        <v>165</v>
      </c>
      <c r="J16" s="9" t="s">
        <v>47</v>
      </c>
      <c r="K16" s="7" t="s">
        <v>26</v>
      </c>
      <c r="L16" s="9" t="s">
        <v>166</v>
      </c>
      <c r="M16" s="9" t="s">
        <v>167</v>
      </c>
      <c r="N16" s="9" t="s">
        <v>168</v>
      </c>
      <c r="O16" s="9" t="s">
        <v>169</v>
      </c>
      <c r="P16" s="7" t="s">
        <v>31</v>
      </c>
      <c r="Q16" s="9" t="s">
        <v>170</v>
      </c>
      <c r="R16" s="9" t="s">
        <v>171</v>
      </c>
    </row>
    <row r="17" customFormat="false" ht="44.25" hidden="false" customHeight="true" outlineLevel="0" collapsed="false">
      <c r="A17" s="6" t="s">
        <v>172</v>
      </c>
      <c r="B17" s="7" t="s">
        <v>102</v>
      </c>
      <c r="C17" s="8" t="n">
        <v>46324</v>
      </c>
      <c r="D17" s="7" t="s">
        <v>115</v>
      </c>
      <c r="E17" s="9" t="s">
        <v>64</v>
      </c>
      <c r="F17" s="7" t="s">
        <v>104</v>
      </c>
      <c r="G17" s="7" t="s">
        <v>117</v>
      </c>
      <c r="H17" s="9" t="s">
        <v>173</v>
      </c>
      <c r="I17" s="9" t="s">
        <v>174</v>
      </c>
      <c r="J17" s="9" t="s">
        <v>47</v>
      </c>
      <c r="K17" s="7" t="s">
        <v>26</v>
      </c>
      <c r="L17" s="9" t="s">
        <v>175</v>
      </c>
      <c r="M17" s="9" t="s">
        <v>176</v>
      </c>
      <c r="N17" s="9" t="s">
        <v>177</v>
      </c>
      <c r="O17" s="9" t="s">
        <v>178</v>
      </c>
      <c r="P17" s="7" t="s">
        <v>31</v>
      </c>
      <c r="Q17" s="9" t="s">
        <v>179</v>
      </c>
      <c r="R17" s="9" t="s">
        <v>180</v>
      </c>
    </row>
    <row r="18" customFormat="false" ht="57" hidden="false" customHeight="true" outlineLevel="0" collapsed="false">
      <c r="A18" s="6" t="s">
        <v>181</v>
      </c>
      <c r="B18" s="7" t="s">
        <v>102</v>
      </c>
      <c r="C18" s="8" t="n">
        <v>46326</v>
      </c>
      <c r="D18" s="7" t="s">
        <v>125</v>
      </c>
      <c r="E18" s="9" t="s">
        <v>54</v>
      </c>
      <c r="F18" s="7" t="s">
        <v>104</v>
      </c>
      <c r="G18" s="7" t="s">
        <v>126</v>
      </c>
      <c r="H18" s="9" t="s">
        <v>182</v>
      </c>
      <c r="I18" s="9" t="s">
        <v>183</v>
      </c>
      <c r="J18" s="9" t="s">
        <v>47</v>
      </c>
      <c r="K18" s="7" t="s">
        <v>38</v>
      </c>
      <c r="L18" s="9" t="s">
        <v>184</v>
      </c>
      <c r="M18" s="9" t="s">
        <v>185</v>
      </c>
      <c r="N18" s="9" t="s">
        <v>186</v>
      </c>
      <c r="O18" s="9" t="s">
        <v>187</v>
      </c>
      <c r="P18" s="7" t="s">
        <v>31</v>
      </c>
      <c r="Q18" s="9" t="s">
        <v>182</v>
      </c>
      <c r="R18" s="9" t="s">
        <v>188</v>
      </c>
    </row>
    <row r="19" customFormat="false" ht="44.25" hidden="false" customHeight="true" outlineLevel="0" collapsed="false">
      <c r="A19" s="6" t="s">
        <v>189</v>
      </c>
      <c r="B19" s="7" t="s">
        <v>190</v>
      </c>
      <c r="C19" s="8" t="n">
        <v>46329</v>
      </c>
      <c r="D19" s="7" t="s">
        <v>103</v>
      </c>
      <c r="E19" s="9" t="s">
        <v>54</v>
      </c>
      <c r="F19" s="7" t="s">
        <v>104</v>
      </c>
      <c r="G19" s="7" t="s">
        <v>105</v>
      </c>
      <c r="H19" s="9" t="s">
        <v>191</v>
      </c>
      <c r="I19" s="9" t="s">
        <v>192</v>
      </c>
      <c r="J19" s="9" t="s">
        <v>25</v>
      </c>
      <c r="K19" s="7" t="s">
        <v>26</v>
      </c>
      <c r="L19" s="9" t="s">
        <v>193</v>
      </c>
      <c r="M19" s="9" t="s">
        <v>194</v>
      </c>
      <c r="N19" s="9" t="s">
        <v>195</v>
      </c>
      <c r="O19" s="9" t="s">
        <v>196</v>
      </c>
      <c r="P19" s="7" t="s">
        <v>31</v>
      </c>
      <c r="Q19" s="9" t="s">
        <v>197</v>
      </c>
      <c r="R19" s="9" t="s">
        <v>198</v>
      </c>
    </row>
    <row r="20" customFormat="false" ht="44.25" hidden="false" customHeight="true" outlineLevel="0" collapsed="false">
      <c r="A20" s="6" t="s">
        <v>199</v>
      </c>
      <c r="B20" s="7" t="s">
        <v>190</v>
      </c>
      <c r="C20" s="8" t="n">
        <v>46331</v>
      </c>
      <c r="D20" s="7" t="s">
        <v>115</v>
      </c>
      <c r="E20" s="9" t="s">
        <v>200</v>
      </c>
      <c r="F20" s="7" t="s">
        <v>22</v>
      </c>
      <c r="G20" s="7" t="s">
        <v>117</v>
      </c>
      <c r="H20" s="9" t="s">
        <v>201</v>
      </c>
      <c r="I20" s="9" t="s">
        <v>202</v>
      </c>
      <c r="J20" s="9" t="s">
        <v>25</v>
      </c>
      <c r="K20" s="7" t="s">
        <v>203</v>
      </c>
      <c r="L20" s="9" t="s">
        <v>204</v>
      </c>
      <c r="M20" s="9" t="s">
        <v>205</v>
      </c>
      <c r="N20" s="9" t="s">
        <v>206</v>
      </c>
      <c r="O20" s="9" t="s">
        <v>207</v>
      </c>
      <c r="P20" s="7" t="s">
        <v>31</v>
      </c>
      <c r="Q20" s="9" t="s">
        <v>201</v>
      </c>
      <c r="R20" s="9" t="s">
        <v>208</v>
      </c>
    </row>
    <row r="21" customFormat="false" ht="44.25" hidden="false" customHeight="true" outlineLevel="0" collapsed="false">
      <c r="A21" s="6" t="s">
        <v>209</v>
      </c>
      <c r="B21" s="7" t="s">
        <v>190</v>
      </c>
      <c r="C21" s="8" t="n">
        <v>46333</v>
      </c>
      <c r="D21" s="7" t="s">
        <v>125</v>
      </c>
      <c r="E21" s="9" t="s">
        <v>44</v>
      </c>
      <c r="F21" s="7" t="s">
        <v>104</v>
      </c>
      <c r="G21" s="7" t="s">
        <v>126</v>
      </c>
      <c r="H21" s="9" t="s">
        <v>210</v>
      </c>
      <c r="I21" s="9" t="s">
        <v>211</v>
      </c>
      <c r="J21" s="9" t="s">
        <v>47</v>
      </c>
      <c r="K21" s="7" t="s">
        <v>38</v>
      </c>
      <c r="L21" s="9" t="s">
        <v>212</v>
      </c>
      <c r="M21" s="9" t="s">
        <v>213</v>
      </c>
      <c r="N21" s="9" t="s">
        <v>214</v>
      </c>
      <c r="O21" s="9" t="s">
        <v>215</v>
      </c>
      <c r="P21" s="7" t="s">
        <v>31</v>
      </c>
      <c r="Q21" s="9" t="s">
        <v>210</v>
      </c>
      <c r="R21" s="9" t="s">
        <v>216</v>
      </c>
    </row>
    <row r="22" customFormat="false" ht="57" hidden="false" customHeight="true" outlineLevel="0" collapsed="false">
      <c r="A22" s="6" t="s">
        <v>217</v>
      </c>
      <c r="B22" s="7" t="s">
        <v>190</v>
      </c>
      <c r="C22" s="8" t="n">
        <v>46336</v>
      </c>
      <c r="D22" s="7" t="s">
        <v>103</v>
      </c>
      <c r="E22" s="9" t="s">
        <v>64</v>
      </c>
      <c r="F22" s="7" t="s">
        <v>104</v>
      </c>
      <c r="G22" s="7" t="s">
        <v>105</v>
      </c>
      <c r="H22" s="9" t="s">
        <v>218</v>
      </c>
      <c r="I22" s="9" t="s">
        <v>219</v>
      </c>
      <c r="J22" s="9" t="s">
        <v>25</v>
      </c>
      <c r="K22" s="7" t="s">
        <v>26</v>
      </c>
      <c r="L22" s="9" t="s">
        <v>220</v>
      </c>
      <c r="M22" s="9" t="s">
        <v>221</v>
      </c>
      <c r="N22" s="9" t="s">
        <v>222</v>
      </c>
      <c r="O22" s="9" t="s">
        <v>223</v>
      </c>
      <c r="P22" s="7" t="s">
        <v>31</v>
      </c>
      <c r="Q22" s="9" t="s">
        <v>224</v>
      </c>
      <c r="R22" s="9" t="s">
        <v>225</v>
      </c>
    </row>
    <row r="23" customFormat="false" ht="69.75" hidden="false" customHeight="true" outlineLevel="0" collapsed="false">
      <c r="A23" s="6" t="s">
        <v>226</v>
      </c>
      <c r="B23" s="7" t="s">
        <v>190</v>
      </c>
      <c r="C23" s="8" t="n">
        <v>46338</v>
      </c>
      <c r="D23" s="7" t="s">
        <v>115</v>
      </c>
      <c r="E23" s="9" t="s">
        <v>136</v>
      </c>
      <c r="F23" s="7" t="s">
        <v>104</v>
      </c>
      <c r="G23" s="7" t="s">
        <v>117</v>
      </c>
      <c r="H23" s="9" t="s">
        <v>227</v>
      </c>
      <c r="I23" s="9" t="s">
        <v>228</v>
      </c>
      <c r="J23" s="9" t="s">
        <v>47</v>
      </c>
      <c r="K23" s="7" t="s">
        <v>26</v>
      </c>
      <c r="L23" s="9" t="s">
        <v>229</v>
      </c>
      <c r="M23" s="9" t="s">
        <v>230</v>
      </c>
      <c r="N23" s="9" t="s">
        <v>231</v>
      </c>
      <c r="O23" s="9" t="s">
        <v>232</v>
      </c>
      <c r="P23" s="7" t="s">
        <v>31</v>
      </c>
      <c r="Q23" s="9" t="s">
        <v>233</v>
      </c>
      <c r="R23" s="9" t="s">
        <v>234</v>
      </c>
    </row>
    <row r="24" customFormat="false" ht="44.25" hidden="false" customHeight="true" outlineLevel="0" collapsed="false">
      <c r="A24" s="6" t="s">
        <v>235</v>
      </c>
      <c r="B24" s="7" t="s">
        <v>190</v>
      </c>
      <c r="C24" s="8" t="n">
        <v>46340</v>
      </c>
      <c r="D24" s="7" t="s">
        <v>125</v>
      </c>
      <c r="E24" s="9" t="s">
        <v>54</v>
      </c>
      <c r="F24" s="7" t="s">
        <v>104</v>
      </c>
      <c r="G24" s="7" t="s">
        <v>126</v>
      </c>
      <c r="H24" s="9" t="s">
        <v>236</v>
      </c>
      <c r="I24" s="9" t="s">
        <v>237</v>
      </c>
      <c r="J24" s="9" t="s">
        <v>47</v>
      </c>
      <c r="K24" s="7" t="s">
        <v>38</v>
      </c>
      <c r="L24" s="9" t="s">
        <v>238</v>
      </c>
      <c r="M24" s="9" t="s">
        <v>239</v>
      </c>
      <c r="N24" s="9" t="s">
        <v>240</v>
      </c>
      <c r="O24" s="9" t="s">
        <v>241</v>
      </c>
      <c r="P24" s="7" t="s">
        <v>31</v>
      </c>
      <c r="Q24" s="9" t="s">
        <v>242</v>
      </c>
      <c r="R24" s="9" t="s">
        <v>243</v>
      </c>
    </row>
    <row r="25" customFormat="false" ht="44.25" hidden="false" customHeight="true" outlineLevel="0" collapsed="false">
      <c r="A25" s="6" t="s">
        <v>244</v>
      </c>
      <c r="B25" s="7" t="s">
        <v>190</v>
      </c>
      <c r="C25" s="8" t="n">
        <v>46343</v>
      </c>
      <c r="D25" s="7" t="s">
        <v>103</v>
      </c>
      <c r="E25" s="9" t="s">
        <v>74</v>
      </c>
      <c r="F25" s="7" t="s">
        <v>104</v>
      </c>
      <c r="G25" s="7" t="s">
        <v>105</v>
      </c>
      <c r="H25" s="9" t="s">
        <v>245</v>
      </c>
      <c r="I25" s="9" t="s">
        <v>246</v>
      </c>
      <c r="J25" s="9" t="s">
        <v>47</v>
      </c>
      <c r="K25" s="7" t="s">
        <v>26</v>
      </c>
      <c r="L25" s="9" t="s">
        <v>247</v>
      </c>
      <c r="M25" s="9" t="s">
        <v>248</v>
      </c>
      <c r="N25" s="9" t="s">
        <v>249</v>
      </c>
      <c r="O25" s="9" t="s">
        <v>250</v>
      </c>
      <c r="P25" s="7" t="s">
        <v>31</v>
      </c>
      <c r="Q25" s="9" t="s">
        <v>245</v>
      </c>
      <c r="R25" s="9" t="s">
        <v>251</v>
      </c>
    </row>
    <row r="26" customFormat="false" ht="44.25" hidden="false" customHeight="true" outlineLevel="0" collapsed="false">
      <c r="A26" s="6" t="s">
        <v>252</v>
      </c>
      <c r="B26" s="7" t="s">
        <v>190</v>
      </c>
      <c r="C26" s="8" t="n">
        <v>46345</v>
      </c>
      <c r="D26" s="7" t="s">
        <v>115</v>
      </c>
      <c r="E26" s="9" t="s">
        <v>35</v>
      </c>
      <c r="F26" s="7" t="s">
        <v>104</v>
      </c>
      <c r="G26" s="7" t="s">
        <v>117</v>
      </c>
      <c r="H26" s="9" t="s">
        <v>253</v>
      </c>
      <c r="I26" s="9" t="s">
        <v>254</v>
      </c>
      <c r="J26" s="9" t="s">
        <v>47</v>
      </c>
      <c r="K26" s="7" t="s">
        <v>26</v>
      </c>
      <c r="L26" s="9" t="s">
        <v>255</v>
      </c>
      <c r="M26" s="9" t="s">
        <v>256</v>
      </c>
      <c r="N26" s="9" t="s">
        <v>257</v>
      </c>
      <c r="O26" s="9" t="s">
        <v>258</v>
      </c>
      <c r="P26" s="7" t="s">
        <v>31</v>
      </c>
      <c r="Q26" s="9" t="s">
        <v>253</v>
      </c>
      <c r="R26" s="9" t="s">
        <v>259</v>
      </c>
    </row>
    <row r="27" customFormat="false" ht="44.25" hidden="false" customHeight="true" outlineLevel="0" collapsed="false">
      <c r="A27" s="6" t="s">
        <v>260</v>
      </c>
      <c r="B27" s="7" t="s">
        <v>190</v>
      </c>
      <c r="C27" s="8" t="n">
        <v>46347</v>
      </c>
      <c r="D27" s="7" t="s">
        <v>125</v>
      </c>
      <c r="E27" s="9" t="s">
        <v>35</v>
      </c>
      <c r="F27" s="7" t="s">
        <v>104</v>
      </c>
      <c r="G27" s="7" t="s">
        <v>126</v>
      </c>
      <c r="H27" s="9" t="s">
        <v>261</v>
      </c>
      <c r="I27" s="9" t="s">
        <v>262</v>
      </c>
      <c r="J27" s="9" t="s">
        <v>25</v>
      </c>
      <c r="K27" s="7" t="s">
        <v>26</v>
      </c>
      <c r="L27" s="9" t="s">
        <v>263</v>
      </c>
      <c r="M27" s="9" t="s">
        <v>264</v>
      </c>
      <c r="N27" s="9" t="s">
        <v>265</v>
      </c>
      <c r="O27" s="9" t="s">
        <v>266</v>
      </c>
      <c r="P27" s="7" t="s">
        <v>31</v>
      </c>
      <c r="Q27" s="9" t="s">
        <v>261</v>
      </c>
      <c r="R27" s="9" t="s">
        <v>267</v>
      </c>
    </row>
    <row r="28" customFormat="false" ht="44.25" hidden="false" customHeight="true" outlineLevel="0" collapsed="false">
      <c r="A28" s="6" t="s">
        <v>268</v>
      </c>
      <c r="B28" s="7" t="s">
        <v>190</v>
      </c>
      <c r="C28" s="8" t="n">
        <v>46350</v>
      </c>
      <c r="D28" s="7" t="s">
        <v>103</v>
      </c>
      <c r="E28" s="9" t="s">
        <v>200</v>
      </c>
      <c r="F28" s="7" t="s">
        <v>104</v>
      </c>
      <c r="G28" s="7" t="s">
        <v>105</v>
      </c>
      <c r="H28" s="9" t="s">
        <v>269</v>
      </c>
      <c r="I28" s="9" t="s">
        <v>270</v>
      </c>
      <c r="J28" s="9" t="s">
        <v>47</v>
      </c>
      <c r="K28" s="7" t="s">
        <v>203</v>
      </c>
      <c r="L28" s="9" t="s">
        <v>271</v>
      </c>
      <c r="M28" s="9" t="s">
        <v>272</v>
      </c>
      <c r="N28" s="9" t="s">
        <v>273</v>
      </c>
      <c r="O28" s="9" t="s">
        <v>274</v>
      </c>
      <c r="P28" s="7" t="s">
        <v>31</v>
      </c>
      <c r="Q28" s="9" t="s">
        <v>275</v>
      </c>
      <c r="R28" s="9" t="s">
        <v>276</v>
      </c>
    </row>
    <row r="29" customFormat="false" ht="44.25" hidden="false" customHeight="true" outlineLevel="0" collapsed="false">
      <c r="A29" s="6" t="s">
        <v>277</v>
      </c>
      <c r="B29" s="7" t="s">
        <v>190</v>
      </c>
      <c r="C29" s="8" t="n">
        <v>46352</v>
      </c>
      <c r="D29" s="7" t="s">
        <v>115</v>
      </c>
      <c r="E29" s="9" t="s">
        <v>44</v>
      </c>
      <c r="F29" s="7" t="s">
        <v>104</v>
      </c>
      <c r="G29" s="7" t="s">
        <v>117</v>
      </c>
      <c r="H29" s="9" t="s">
        <v>278</v>
      </c>
      <c r="I29" s="9" t="s">
        <v>279</v>
      </c>
      <c r="J29" s="9" t="s">
        <v>47</v>
      </c>
      <c r="K29" s="7" t="s">
        <v>26</v>
      </c>
      <c r="L29" s="9" t="s">
        <v>280</v>
      </c>
      <c r="M29" s="9" t="s">
        <v>281</v>
      </c>
      <c r="N29" s="9" t="s">
        <v>282</v>
      </c>
      <c r="O29" s="9" t="s">
        <v>283</v>
      </c>
      <c r="P29" s="7" t="s">
        <v>31</v>
      </c>
      <c r="Q29" s="9" t="s">
        <v>284</v>
      </c>
      <c r="R29" s="9" t="s">
        <v>285</v>
      </c>
    </row>
    <row r="30" customFormat="false" ht="44.25" hidden="false" customHeight="true" outlineLevel="0" collapsed="false">
      <c r="A30" s="6" t="s">
        <v>286</v>
      </c>
      <c r="B30" s="7" t="s">
        <v>190</v>
      </c>
      <c r="C30" s="8" t="n">
        <v>46354</v>
      </c>
      <c r="D30" s="7" t="s">
        <v>125</v>
      </c>
      <c r="E30" s="9" t="s">
        <v>54</v>
      </c>
      <c r="F30" s="7" t="s">
        <v>104</v>
      </c>
      <c r="G30" s="7" t="s">
        <v>126</v>
      </c>
      <c r="H30" s="9" t="s">
        <v>287</v>
      </c>
      <c r="I30" s="9" t="s">
        <v>288</v>
      </c>
      <c r="J30" s="9" t="s">
        <v>47</v>
      </c>
      <c r="K30" s="7" t="s">
        <v>38</v>
      </c>
      <c r="L30" s="9" t="s">
        <v>289</v>
      </c>
      <c r="M30" s="9" t="s">
        <v>290</v>
      </c>
      <c r="N30" s="9" t="s">
        <v>291</v>
      </c>
      <c r="O30" s="9" t="s">
        <v>292</v>
      </c>
      <c r="P30" s="7" t="s">
        <v>31</v>
      </c>
      <c r="Q30" s="9" t="s">
        <v>293</v>
      </c>
      <c r="R30" s="9" t="s">
        <v>294</v>
      </c>
    </row>
    <row r="31" customFormat="false" ht="44.25" hidden="false" customHeight="true" outlineLevel="0" collapsed="false">
      <c r="A31" s="6" t="s">
        <v>295</v>
      </c>
      <c r="B31" s="7" t="s">
        <v>296</v>
      </c>
      <c r="C31" s="8" t="n">
        <v>46357</v>
      </c>
      <c r="D31" s="7" t="s">
        <v>103</v>
      </c>
      <c r="E31" s="9" t="s">
        <v>74</v>
      </c>
      <c r="F31" s="7" t="s">
        <v>104</v>
      </c>
      <c r="G31" s="7" t="s">
        <v>105</v>
      </c>
      <c r="H31" s="9" t="s">
        <v>297</v>
      </c>
      <c r="I31" s="9" t="s">
        <v>298</v>
      </c>
      <c r="J31" s="9" t="s">
        <v>25</v>
      </c>
      <c r="K31" s="7" t="s">
        <v>26</v>
      </c>
      <c r="L31" s="9" t="s">
        <v>299</v>
      </c>
      <c r="M31" s="9" t="s">
        <v>300</v>
      </c>
      <c r="N31" s="9" t="s">
        <v>301</v>
      </c>
      <c r="O31" s="9" t="s">
        <v>302</v>
      </c>
      <c r="P31" s="7" t="s">
        <v>31</v>
      </c>
      <c r="Q31" s="9" t="s">
        <v>303</v>
      </c>
      <c r="R31" s="9" t="s">
        <v>304</v>
      </c>
    </row>
    <row r="32" customFormat="false" ht="44.25" hidden="false" customHeight="true" outlineLevel="0" collapsed="false">
      <c r="A32" s="6" t="s">
        <v>305</v>
      </c>
      <c r="B32" s="7" t="s">
        <v>296</v>
      </c>
      <c r="C32" s="8" t="n">
        <v>46359</v>
      </c>
      <c r="D32" s="7" t="s">
        <v>115</v>
      </c>
      <c r="E32" s="9" t="s">
        <v>200</v>
      </c>
      <c r="F32" s="7" t="s">
        <v>104</v>
      </c>
      <c r="G32" s="7" t="s">
        <v>117</v>
      </c>
      <c r="H32" s="9" t="s">
        <v>306</v>
      </c>
      <c r="I32" s="9" t="s">
        <v>307</v>
      </c>
      <c r="J32" s="9" t="s">
        <v>47</v>
      </c>
      <c r="K32" s="7" t="s">
        <v>203</v>
      </c>
      <c r="L32" s="9" t="s">
        <v>308</v>
      </c>
      <c r="M32" s="9" t="s">
        <v>309</v>
      </c>
      <c r="N32" s="9" t="s">
        <v>310</v>
      </c>
      <c r="O32" s="9" t="s">
        <v>311</v>
      </c>
      <c r="P32" s="7" t="s">
        <v>31</v>
      </c>
      <c r="Q32" s="9" t="s">
        <v>306</v>
      </c>
      <c r="R32" s="9" t="s">
        <v>312</v>
      </c>
    </row>
    <row r="33" customFormat="false" ht="44.25" hidden="false" customHeight="true" outlineLevel="0" collapsed="false">
      <c r="A33" s="6" t="s">
        <v>313</v>
      </c>
      <c r="B33" s="7" t="s">
        <v>296</v>
      </c>
      <c r="C33" s="8" t="n">
        <v>46361</v>
      </c>
      <c r="D33" s="7" t="s">
        <v>125</v>
      </c>
      <c r="E33" s="9" t="s">
        <v>54</v>
      </c>
      <c r="F33" s="7" t="s">
        <v>104</v>
      </c>
      <c r="G33" s="7" t="s">
        <v>126</v>
      </c>
      <c r="H33" s="9" t="s">
        <v>314</v>
      </c>
      <c r="I33" s="9" t="s">
        <v>315</v>
      </c>
      <c r="J33" s="9" t="s">
        <v>47</v>
      </c>
      <c r="K33" s="7" t="s">
        <v>38</v>
      </c>
      <c r="L33" s="9" t="s">
        <v>316</v>
      </c>
      <c r="M33" s="9" t="s">
        <v>317</v>
      </c>
      <c r="N33" s="9" t="s">
        <v>318</v>
      </c>
      <c r="O33" s="9" t="s">
        <v>319</v>
      </c>
      <c r="P33" s="7" t="s">
        <v>31</v>
      </c>
      <c r="Q33" s="9" t="s">
        <v>314</v>
      </c>
      <c r="R33" s="9" t="s">
        <v>320</v>
      </c>
    </row>
    <row r="34" customFormat="false" ht="44.25" hidden="false" customHeight="true" outlineLevel="0" collapsed="false">
      <c r="A34" s="6" t="s">
        <v>321</v>
      </c>
      <c r="B34" s="7" t="s">
        <v>296</v>
      </c>
      <c r="C34" s="8" t="n">
        <v>46364</v>
      </c>
      <c r="D34" s="7" t="s">
        <v>103</v>
      </c>
      <c r="E34" s="9" t="s">
        <v>200</v>
      </c>
      <c r="F34" s="7" t="s">
        <v>104</v>
      </c>
      <c r="G34" s="7" t="s">
        <v>105</v>
      </c>
      <c r="H34" s="9" t="s">
        <v>322</v>
      </c>
      <c r="I34" s="9" t="s">
        <v>323</v>
      </c>
      <c r="J34" s="9" t="s">
        <v>47</v>
      </c>
      <c r="K34" s="7" t="s">
        <v>203</v>
      </c>
      <c r="L34" s="9" t="s">
        <v>324</v>
      </c>
      <c r="M34" s="9" t="s">
        <v>325</v>
      </c>
      <c r="N34" s="9" t="s">
        <v>326</v>
      </c>
      <c r="O34" s="9" t="s">
        <v>327</v>
      </c>
      <c r="P34" s="7" t="s">
        <v>31</v>
      </c>
      <c r="Q34" s="9" t="s">
        <v>328</v>
      </c>
      <c r="R34" s="9" t="s">
        <v>329</v>
      </c>
    </row>
    <row r="35" customFormat="false" ht="44.25" hidden="false" customHeight="true" outlineLevel="0" collapsed="false">
      <c r="A35" s="6" t="s">
        <v>330</v>
      </c>
      <c r="B35" s="7" t="s">
        <v>296</v>
      </c>
      <c r="C35" s="8" t="n">
        <v>46366</v>
      </c>
      <c r="D35" s="7" t="s">
        <v>115</v>
      </c>
      <c r="E35" s="9" t="s">
        <v>136</v>
      </c>
      <c r="F35" s="7" t="s">
        <v>104</v>
      </c>
      <c r="G35" s="7" t="s">
        <v>117</v>
      </c>
      <c r="H35" s="9" t="s">
        <v>331</v>
      </c>
      <c r="I35" s="9" t="s">
        <v>332</v>
      </c>
      <c r="J35" s="9" t="s">
        <v>25</v>
      </c>
      <c r="K35" s="7" t="s">
        <v>203</v>
      </c>
      <c r="L35" s="9" t="s">
        <v>333</v>
      </c>
      <c r="M35" s="9" t="s">
        <v>334</v>
      </c>
      <c r="N35" s="9" t="s">
        <v>335</v>
      </c>
      <c r="O35" s="9" t="s">
        <v>336</v>
      </c>
      <c r="P35" s="7" t="s">
        <v>31</v>
      </c>
      <c r="Q35" s="9" t="s">
        <v>337</v>
      </c>
      <c r="R35" s="9" t="s">
        <v>338</v>
      </c>
    </row>
    <row r="36" customFormat="false" ht="44.25" hidden="false" customHeight="true" outlineLevel="0" collapsed="false">
      <c r="A36" s="6" t="s">
        <v>339</v>
      </c>
      <c r="B36" s="7" t="s">
        <v>296</v>
      </c>
      <c r="C36" s="8" t="n">
        <v>46368</v>
      </c>
      <c r="D36" s="7" t="s">
        <v>125</v>
      </c>
      <c r="E36" s="9" t="s">
        <v>35</v>
      </c>
      <c r="F36" s="7" t="s">
        <v>104</v>
      </c>
      <c r="G36" s="7" t="s">
        <v>126</v>
      </c>
      <c r="H36" s="9" t="s">
        <v>340</v>
      </c>
      <c r="I36" s="9" t="s">
        <v>341</v>
      </c>
      <c r="J36" s="9" t="s">
        <v>25</v>
      </c>
      <c r="K36" s="7" t="s">
        <v>38</v>
      </c>
      <c r="L36" s="9" t="s">
        <v>342</v>
      </c>
      <c r="M36" s="9" t="s">
        <v>343</v>
      </c>
      <c r="N36" s="9" t="s">
        <v>344</v>
      </c>
      <c r="O36" s="9" t="s">
        <v>345</v>
      </c>
      <c r="P36" s="7" t="s">
        <v>31</v>
      </c>
      <c r="Q36" s="9" t="s">
        <v>340</v>
      </c>
      <c r="R36" s="9" t="s">
        <v>346</v>
      </c>
    </row>
    <row r="37" customFormat="false" ht="44.25" hidden="false" customHeight="true" outlineLevel="0" collapsed="false">
      <c r="A37" s="6" t="s">
        <v>347</v>
      </c>
      <c r="B37" s="7" t="s">
        <v>296</v>
      </c>
      <c r="C37" s="8" t="n">
        <v>46371</v>
      </c>
      <c r="D37" s="7" t="s">
        <v>103</v>
      </c>
      <c r="E37" s="9" t="s">
        <v>136</v>
      </c>
      <c r="F37" s="7" t="s">
        <v>104</v>
      </c>
      <c r="G37" s="7" t="s">
        <v>105</v>
      </c>
      <c r="H37" s="9" t="s">
        <v>348</v>
      </c>
      <c r="I37" s="9" t="s">
        <v>349</v>
      </c>
      <c r="J37" s="9" t="s">
        <v>25</v>
      </c>
      <c r="K37" s="7" t="s">
        <v>26</v>
      </c>
      <c r="L37" s="9" t="s">
        <v>350</v>
      </c>
      <c r="M37" s="9" t="s">
        <v>351</v>
      </c>
      <c r="N37" s="9" t="s">
        <v>352</v>
      </c>
      <c r="O37" s="9" t="s">
        <v>353</v>
      </c>
      <c r="P37" s="7" t="s">
        <v>31</v>
      </c>
      <c r="Q37" s="9" t="s">
        <v>354</v>
      </c>
      <c r="R37" s="9" t="s">
        <v>355</v>
      </c>
    </row>
    <row r="38" customFormat="false" ht="44.25" hidden="false" customHeight="true" outlineLevel="0" collapsed="false">
      <c r="A38" s="6" t="s">
        <v>356</v>
      </c>
      <c r="B38" s="7" t="s">
        <v>296</v>
      </c>
      <c r="C38" s="8" t="n">
        <v>46373</v>
      </c>
      <c r="D38" s="7" t="s">
        <v>115</v>
      </c>
      <c r="E38" s="9" t="s">
        <v>200</v>
      </c>
      <c r="F38" s="7" t="s">
        <v>104</v>
      </c>
      <c r="G38" s="7" t="s">
        <v>117</v>
      </c>
      <c r="H38" s="9" t="s">
        <v>357</v>
      </c>
      <c r="I38" s="9" t="s">
        <v>358</v>
      </c>
      <c r="J38" s="9" t="s">
        <v>47</v>
      </c>
      <c r="K38" s="7" t="s">
        <v>203</v>
      </c>
      <c r="L38" s="9" t="s">
        <v>359</v>
      </c>
      <c r="M38" s="9" t="s">
        <v>360</v>
      </c>
      <c r="N38" s="9" t="s">
        <v>361</v>
      </c>
      <c r="O38" s="9" t="s">
        <v>362</v>
      </c>
      <c r="P38" s="7" t="s">
        <v>31</v>
      </c>
      <c r="Q38" s="9" t="s">
        <v>363</v>
      </c>
      <c r="R38" s="9" t="s">
        <v>364</v>
      </c>
    </row>
    <row r="39" customFormat="false" ht="44.25" hidden="false" customHeight="true" outlineLevel="0" collapsed="false">
      <c r="A39" s="6" t="s">
        <v>365</v>
      </c>
      <c r="B39" s="7" t="s">
        <v>296</v>
      </c>
      <c r="C39" s="8" t="n">
        <v>46375</v>
      </c>
      <c r="D39" s="7" t="s">
        <v>125</v>
      </c>
      <c r="E39" s="9" t="s">
        <v>64</v>
      </c>
      <c r="F39" s="7" t="s">
        <v>104</v>
      </c>
      <c r="G39" s="7" t="s">
        <v>126</v>
      </c>
      <c r="H39" s="9" t="s">
        <v>366</v>
      </c>
      <c r="I39" s="9" t="s">
        <v>367</v>
      </c>
      <c r="J39" s="9" t="s">
        <v>47</v>
      </c>
      <c r="K39" s="7" t="s">
        <v>26</v>
      </c>
      <c r="L39" s="9" t="s">
        <v>368</v>
      </c>
      <c r="M39" s="9" t="s">
        <v>369</v>
      </c>
      <c r="N39" s="9" t="s">
        <v>370</v>
      </c>
      <c r="O39" s="9" t="s">
        <v>371</v>
      </c>
      <c r="P39" s="7" t="s">
        <v>31</v>
      </c>
      <c r="Q39" s="9" t="s">
        <v>366</v>
      </c>
      <c r="R39" s="9" t="s">
        <v>372</v>
      </c>
    </row>
    <row r="40" customFormat="false" ht="57" hidden="false" customHeight="true" outlineLevel="0" collapsed="false">
      <c r="A40" s="6" t="s">
        <v>373</v>
      </c>
      <c r="B40" s="7" t="s">
        <v>296</v>
      </c>
      <c r="C40" s="8" t="n">
        <v>46378</v>
      </c>
      <c r="D40" s="7" t="s">
        <v>103</v>
      </c>
      <c r="E40" s="9" t="s">
        <v>54</v>
      </c>
      <c r="F40" s="7" t="s">
        <v>104</v>
      </c>
      <c r="G40" s="7" t="s">
        <v>105</v>
      </c>
      <c r="H40" s="9" t="s">
        <v>374</v>
      </c>
      <c r="I40" s="9" t="s">
        <v>375</v>
      </c>
      <c r="J40" s="9" t="s">
        <v>47</v>
      </c>
      <c r="K40" s="7" t="s">
        <v>203</v>
      </c>
      <c r="L40" s="9" t="s">
        <v>376</v>
      </c>
      <c r="M40" s="9" t="s">
        <v>377</v>
      </c>
      <c r="N40" s="9" t="s">
        <v>378</v>
      </c>
      <c r="O40" s="9" t="s">
        <v>379</v>
      </c>
      <c r="P40" s="7" t="s">
        <v>31</v>
      </c>
      <c r="Q40" s="9" t="s">
        <v>380</v>
      </c>
      <c r="R40" s="9" t="s">
        <v>381</v>
      </c>
    </row>
    <row r="41" customFormat="false" ht="44.25" hidden="false" customHeight="true" outlineLevel="0" collapsed="false">
      <c r="A41" s="6" t="s">
        <v>382</v>
      </c>
      <c r="B41" s="7" t="s">
        <v>296</v>
      </c>
      <c r="C41" s="8" t="n">
        <v>46380</v>
      </c>
      <c r="D41" s="7" t="s">
        <v>115</v>
      </c>
      <c r="E41" s="9" t="s">
        <v>21</v>
      </c>
      <c r="F41" s="7" t="s">
        <v>104</v>
      </c>
      <c r="G41" s="7" t="s">
        <v>117</v>
      </c>
      <c r="H41" s="9" t="s">
        <v>383</v>
      </c>
      <c r="I41" s="9" t="s">
        <v>384</v>
      </c>
      <c r="J41" s="9" t="s">
        <v>25</v>
      </c>
      <c r="K41" s="7" t="s">
        <v>26</v>
      </c>
      <c r="L41" s="9" t="s">
        <v>385</v>
      </c>
      <c r="M41" s="9" t="s">
        <v>386</v>
      </c>
      <c r="N41" s="9" t="s">
        <v>387</v>
      </c>
      <c r="O41" s="9" t="s">
        <v>388</v>
      </c>
      <c r="P41" s="7" t="s">
        <v>31</v>
      </c>
      <c r="Q41" s="9" t="s">
        <v>383</v>
      </c>
      <c r="R41" s="9" t="s">
        <v>389</v>
      </c>
    </row>
    <row r="42" customFormat="false" ht="44.25" hidden="false" customHeight="true" outlineLevel="0" collapsed="false">
      <c r="A42" s="6" t="s">
        <v>390</v>
      </c>
      <c r="B42" s="7" t="s">
        <v>296</v>
      </c>
      <c r="C42" s="8" t="n">
        <v>46382</v>
      </c>
      <c r="D42" s="7" t="s">
        <v>125</v>
      </c>
      <c r="E42" s="9" t="s">
        <v>74</v>
      </c>
      <c r="F42" s="7" t="s">
        <v>104</v>
      </c>
      <c r="G42" s="7" t="s">
        <v>126</v>
      </c>
      <c r="H42" s="9" t="s">
        <v>391</v>
      </c>
      <c r="I42" s="9" t="s">
        <v>392</v>
      </c>
      <c r="J42" s="9" t="s">
        <v>47</v>
      </c>
      <c r="K42" s="7" t="s">
        <v>26</v>
      </c>
      <c r="L42" s="9" t="s">
        <v>393</v>
      </c>
      <c r="M42" s="9" t="s">
        <v>394</v>
      </c>
      <c r="N42" s="9" t="s">
        <v>395</v>
      </c>
      <c r="O42" s="9" t="s">
        <v>396</v>
      </c>
      <c r="P42" s="7" t="s">
        <v>31</v>
      </c>
      <c r="Q42" s="9" t="s">
        <v>397</v>
      </c>
      <c r="R42" s="9" t="s">
        <v>398</v>
      </c>
    </row>
    <row r="43" customFormat="false" ht="44.25" hidden="false" customHeight="true" outlineLevel="0" collapsed="false">
      <c r="A43" s="6" t="s">
        <v>399</v>
      </c>
      <c r="B43" s="7" t="s">
        <v>296</v>
      </c>
      <c r="C43" s="8" t="n">
        <v>46385</v>
      </c>
      <c r="D43" s="7" t="s">
        <v>103</v>
      </c>
      <c r="E43" s="9" t="s">
        <v>44</v>
      </c>
      <c r="F43" s="7" t="s">
        <v>104</v>
      </c>
      <c r="G43" s="7" t="s">
        <v>105</v>
      </c>
      <c r="H43" s="9" t="s">
        <v>400</v>
      </c>
      <c r="I43" s="9" t="s">
        <v>401</v>
      </c>
      <c r="J43" s="9" t="s">
        <v>47</v>
      </c>
      <c r="K43" s="7" t="s">
        <v>203</v>
      </c>
      <c r="L43" s="9" t="s">
        <v>402</v>
      </c>
      <c r="M43" s="9" t="s">
        <v>403</v>
      </c>
      <c r="N43" s="9" t="s">
        <v>404</v>
      </c>
      <c r="O43" s="9" t="s">
        <v>405</v>
      </c>
      <c r="P43" s="7" t="s">
        <v>31</v>
      </c>
      <c r="Q43" s="9" t="s">
        <v>406</v>
      </c>
      <c r="R43" s="9" t="s">
        <v>407</v>
      </c>
    </row>
    <row r="44" customFormat="false" ht="44.25" hidden="false" customHeight="true" outlineLevel="0" collapsed="false">
      <c r="A44" s="6" t="s">
        <v>408</v>
      </c>
      <c r="B44" s="7" t="s">
        <v>296</v>
      </c>
      <c r="C44" s="8" t="n">
        <v>46387</v>
      </c>
      <c r="D44" s="7" t="s">
        <v>115</v>
      </c>
      <c r="E44" s="9" t="s">
        <v>74</v>
      </c>
      <c r="F44" s="7" t="s">
        <v>104</v>
      </c>
      <c r="G44" s="7" t="s">
        <v>117</v>
      </c>
      <c r="H44" s="9" t="s">
        <v>409</v>
      </c>
      <c r="I44" s="9" t="s">
        <v>410</v>
      </c>
      <c r="J44" s="9" t="s">
        <v>47</v>
      </c>
      <c r="K44" s="7" t="s">
        <v>203</v>
      </c>
      <c r="L44" s="9" t="s">
        <v>411</v>
      </c>
      <c r="M44" s="9" t="s">
        <v>412</v>
      </c>
      <c r="N44" s="9" t="s">
        <v>413</v>
      </c>
      <c r="O44" s="9" t="s">
        <v>414</v>
      </c>
      <c r="P44" s="7" t="s">
        <v>31</v>
      </c>
      <c r="Q44" s="9" t="s">
        <v>415</v>
      </c>
      <c r="R44" s="9" t="s">
        <v>416</v>
      </c>
    </row>
    <row r="45" customFormat="false" ht="44.25" hidden="false" customHeight="true" outlineLevel="0" collapsed="false">
      <c r="A45" s="6" t="s">
        <v>417</v>
      </c>
      <c r="B45" s="7" t="s">
        <v>418</v>
      </c>
      <c r="C45" s="8" t="n">
        <v>46389</v>
      </c>
      <c r="D45" s="7" t="s">
        <v>125</v>
      </c>
      <c r="E45" s="9" t="s">
        <v>35</v>
      </c>
      <c r="F45" s="7" t="s">
        <v>104</v>
      </c>
      <c r="G45" s="7" t="s">
        <v>126</v>
      </c>
      <c r="H45" s="9" t="s">
        <v>419</v>
      </c>
      <c r="I45" s="9" t="s">
        <v>420</v>
      </c>
      <c r="J45" s="9" t="s">
        <v>25</v>
      </c>
      <c r="K45" s="7" t="s">
        <v>26</v>
      </c>
      <c r="L45" s="9" t="s">
        <v>421</v>
      </c>
      <c r="M45" s="9" t="s">
        <v>422</v>
      </c>
      <c r="N45" s="9" t="s">
        <v>423</v>
      </c>
      <c r="O45" s="9" t="s">
        <v>424</v>
      </c>
      <c r="P45" s="7" t="s">
        <v>31</v>
      </c>
      <c r="Q45" s="9" t="s">
        <v>419</v>
      </c>
      <c r="R45" s="9" t="s">
        <v>425</v>
      </c>
    </row>
    <row r="46" customFormat="false" ht="44.25" hidden="false" customHeight="true" outlineLevel="0" collapsed="false">
      <c r="A46" s="6" t="s">
        <v>426</v>
      </c>
      <c r="B46" s="7" t="s">
        <v>418</v>
      </c>
      <c r="C46" s="8" t="n">
        <v>46392</v>
      </c>
      <c r="D46" s="7" t="s">
        <v>103</v>
      </c>
      <c r="E46" s="9" t="s">
        <v>136</v>
      </c>
      <c r="F46" s="7" t="s">
        <v>104</v>
      </c>
      <c r="G46" s="7" t="s">
        <v>105</v>
      </c>
      <c r="H46" s="9" t="s">
        <v>427</v>
      </c>
      <c r="I46" s="9" t="s">
        <v>428</v>
      </c>
      <c r="J46" s="9" t="s">
        <v>25</v>
      </c>
      <c r="K46" s="7" t="s">
        <v>203</v>
      </c>
      <c r="L46" s="9" t="s">
        <v>429</v>
      </c>
      <c r="M46" s="9" t="s">
        <v>430</v>
      </c>
      <c r="N46" s="9" t="s">
        <v>431</v>
      </c>
      <c r="O46" s="9" t="s">
        <v>432</v>
      </c>
      <c r="P46" s="7" t="s">
        <v>31</v>
      </c>
      <c r="Q46" s="9" t="s">
        <v>427</v>
      </c>
      <c r="R46" s="9" t="s">
        <v>433</v>
      </c>
    </row>
    <row r="47" customFormat="false" ht="44.25" hidden="false" customHeight="true" outlineLevel="0" collapsed="false">
      <c r="A47" s="6" t="s">
        <v>434</v>
      </c>
      <c r="B47" s="7" t="s">
        <v>418</v>
      </c>
      <c r="C47" s="8" t="n">
        <v>46394</v>
      </c>
      <c r="D47" s="7" t="s">
        <v>115</v>
      </c>
      <c r="E47" s="9" t="s">
        <v>35</v>
      </c>
      <c r="F47" s="7" t="s">
        <v>104</v>
      </c>
      <c r="G47" s="7" t="s">
        <v>117</v>
      </c>
      <c r="H47" s="9" t="s">
        <v>435</v>
      </c>
      <c r="I47" s="9" t="s">
        <v>436</v>
      </c>
      <c r="J47" s="9" t="s">
        <v>47</v>
      </c>
      <c r="K47" s="7" t="s">
        <v>26</v>
      </c>
      <c r="L47" s="9" t="s">
        <v>437</v>
      </c>
      <c r="M47" s="9" t="s">
        <v>438</v>
      </c>
      <c r="N47" s="9" t="s">
        <v>439</v>
      </c>
      <c r="O47" s="9" t="s">
        <v>440</v>
      </c>
      <c r="P47" s="7" t="s">
        <v>31</v>
      </c>
      <c r="Q47" s="9" t="s">
        <v>441</v>
      </c>
      <c r="R47" s="9" t="s">
        <v>442</v>
      </c>
    </row>
    <row r="48" customFormat="false" ht="44.25" hidden="false" customHeight="true" outlineLevel="0" collapsed="false">
      <c r="A48" s="6" t="s">
        <v>443</v>
      </c>
      <c r="B48" s="7" t="s">
        <v>418</v>
      </c>
      <c r="C48" s="8" t="n">
        <v>46396</v>
      </c>
      <c r="D48" s="7" t="s">
        <v>125</v>
      </c>
      <c r="E48" s="9" t="s">
        <v>44</v>
      </c>
      <c r="F48" s="7" t="s">
        <v>104</v>
      </c>
      <c r="G48" s="7" t="s">
        <v>126</v>
      </c>
      <c r="H48" s="9" t="s">
        <v>444</v>
      </c>
      <c r="I48" s="9" t="s">
        <v>445</v>
      </c>
      <c r="J48" s="9" t="s">
        <v>25</v>
      </c>
      <c r="K48" s="7" t="s">
        <v>26</v>
      </c>
      <c r="L48" s="9" t="s">
        <v>446</v>
      </c>
      <c r="M48" s="9" t="s">
        <v>447</v>
      </c>
      <c r="N48" s="9" t="s">
        <v>448</v>
      </c>
      <c r="O48" s="9" t="s">
        <v>449</v>
      </c>
      <c r="P48" s="7" t="s">
        <v>31</v>
      </c>
      <c r="Q48" s="9" t="s">
        <v>450</v>
      </c>
      <c r="R48" s="9" t="s">
        <v>451</v>
      </c>
    </row>
    <row r="49" customFormat="false" ht="44.25" hidden="false" customHeight="true" outlineLevel="0" collapsed="false">
      <c r="A49" s="6" t="s">
        <v>452</v>
      </c>
      <c r="B49" s="7" t="s">
        <v>418</v>
      </c>
      <c r="C49" s="8" t="n">
        <v>46399</v>
      </c>
      <c r="D49" s="7" t="s">
        <v>103</v>
      </c>
      <c r="E49" s="9" t="s">
        <v>44</v>
      </c>
      <c r="F49" s="7" t="s">
        <v>104</v>
      </c>
      <c r="G49" s="7" t="s">
        <v>105</v>
      </c>
      <c r="H49" s="9" t="s">
        <v>453</v>
      </c>
      <c r="I49" s="9" t="s">
        <v>454</v>
      </c>
      <c r="J49" s="9" t="s">
        <v>47</v>
      </c>
      <c r="K49" s="7" t="s">
        <v>203</v>
      </c>
      <c r="L49" s="9" t="s">
        <v>455</v>
      </c>
      <c r="M49" s="9" t="s">
        <v>456</v>
      </c>
      <c r="N49" s="9" t="s">
        <v>457</v>
      </c>
      <c r="O49" s="9" t="s">
        <v>458</v>
      </c>
      <c r="P49" s="7" t="s">
        <v>31</v>
      </c>
      <c r="Q49" s="9" t="s">
        <v>453</v>
      </c>
      <c r="R49" s="9" t="s">
        <v>459</v>
      </c>
    </row>
    <row r="50" customFormat="false" ht="44.25" hidden="false" customHeight="true" outlineLevel="0" collapsed="false">
      <c r="A50" s="6" t="s">
        <v>460</v>
      </c>
      <c r="B50" s="7" t="s">
        <v>418</v>
      </c>
      <c r="C50" s="8" t="n">
        <v>46401</v>
      </c>
      <c r="D50" s="7" t="s">
        <v>115</v>
      </c>
      <c r="E50" s="9" t="s">
        <v>136</v>
      </c>
      <c r="F50" s="7" t="s">
        <v>104</v>
      </c>
      <c r="G50" s="7" t="s">
        <v>117</v>
      </c>
      <c r="H50" s="9" t="s">
        <v>461</v>
      </c>
      <c r="I50" s="9" t="s">
        <v>462</v>
      </c>
      <c r="J50" s="9" t="s">
        <v>25</v>
      </c>
      <c r="K50" s="7" t="s">
        <v>38</v>
      </c>
      <c r="L50" s="9" t="s">
        <v>463</v>
      </c>
      <c r="M50" s="9" t="s">
        <v>464</v>
      </c>
      <c r="N50" s="9" t="s">
        <v>465</v>
      </c>
      <c r="O50" s="9" t="s">
        <v>466</v>
      </c>
      <c r="P50" s="7" t="s">
        <v>31</v>
      </c>
      <c r="Q50" s="9" t="s">
        <v>461</v>
      </c>
      <c r="R50" s="9" t="s">
        <v>467</v>
      </c>
    </row>
    <row r="51" customFormat="false" ht="44.25" hidden="false" customHeight="true" outlineLevel="0" collapsed="false">
      <c r="A51" s="6" t="s">
        <v>468</v>
      </c>
      <c r="B51" s="7" t="s">
        <v>418</v>
      </c>
      <c r="C51" s="8" t="n">
        <v>46403</v>
      </c>
      <c r="D51" s="7" t="s">
        <v>125</v>
      </c>
      <c r="E51" s="9" t="s">
        <v>64</v>
      </c>
      <c r="F51" s="7" t="s">
        <v>104</v>
      </c>
      <c r="G51" s="7" t="s">
        <v>126</v>
      </c>
      <c r="H51" s="9" t="s">
        <v>469</v>
      </c>
      <c r="I51" s="9" t="s">
        <v>470</v>
      </c>
      <c r="J51" s="9" t="s">
        <v>47</v>
      </c>
      <c r="K51" s="7" t="s">
        <v>26</v>
      </c>
      <c r="L51" s="9" t="s">
        <v>471</v>
      </c>
      <c r="M51" s="9" t="s">
        <v>472</v>
      </c>
      <c r="N51" s="9" t="s">
        <v>473</v>
      </c>
      <c r="O51" s="9" t="s">
        <v>474</v>
      </c>
      <c r="P51" s="7" t="s">
        <v>31</v>
      </c>
      <c r="Q51" s="9" t="s">
        <v>469</v>
      </c>
      <c r="R51" s="9" t="s">
        <v>475</v>
      </c>
    </row>
    <row r="52" customFormat="false" ht="44.25" hidden="false" customHeight="true" outlineLevel="0" collapsed="false">
      <c r="A52" s="6" t="s">
        <v>476</v>
      </c>
      <c r="B52" s="7" t="s">
        <v>418</v>
      </c>
      <c r="C52" s="8" t="n">
        <v>46406</v>
      </c>
      <c r="D52" s="7" t="s">
        <v>103</v>
      </c>
      <c r="E52" s="9" t="s">
        <v>35</v>
      </c>
      <c r="F52" s="7" t="s">
        <v>104</v>
      </c>
      <c r="G52" s="7" t="s">
        <v>105</v>
      </c>
      <c r="H52" s="9" t="s">
        <v>477</v>
      </c>
      <c r="I52" s="9" t="s">
        <v>478</v>
      </c>
      <c r="J52" s="9" t="s">
        <v>47</v>
      </c>
      <c r="K52" s="7" t="s">
        <v>26</v>
      </c>
      <c r="L52" s="9" t="s">
        <v>479</v>
      </c>
      <c r="M52" s="9" t="s">
        <v>480</v>
      </c>
      <c r="N52" s="9" t="s">
        <v>481</v>
      </c>
      <c r="O52" s="9" t="s">
        <v>482</v>
      </c>
      <c r="P52" s="7" t="s">
        <v>31</v>
      </c>
      <c r="Q52" s="9" t="s">
        <v>483</v>
      </c>
      <c r="R52" s="9" t="s">
        <v>484</v>
      </c>
    </row>
    <row r="53" customFormat="false" ht="44.25" hidden="false" customHeight="true" outlineLevel="0" collapsed="false">
      <c r="A53" s="6" t="s">
        <v>485</v>
      </c>
      <c r="B53" s="7" t="s">
        <v>418</v>
      </c>
      <c r="C53" s="8" t="n">
        <v>46408</v>
      </c>
      <c r="D53" s="7" t="s">
        <v>115</v>
      </c>
      <c r="E53" s="9" t="s">
        <v>200</v>
      </c>
      <c r="F53" s="7" t="s">
        <v>104</v>
      </c>
      <c r="G53" s="7" t="s">
        <v>117</v>
      </c>
      <c r="H53" s="9" t="s">
        <v>486</v>
      </c>
      <c r="I53" s="9" t="s">
        <v>487</v>
      </c>
      <c r="J53" s="9" t="s">
        <v>25</v>
      </c>
      <c r="K53" s="7" t="s">
        <v>203</v>
      </c>
      <c r="L53" s="9" t="s">
        <v>488</v>
      </c>
      <c r="M53" s="9" t="s">
        <v>489</v>
      </c>
      <c r="N53" s="9" t="s">
        <v>490</v>
      </c>
      <c r="O53" s="9" t="s">
        <v>491</v>
      </c>
      <c r="P53" s="7" t="s">
        <v>31</v>
      </c>
      <c r="Q53" s="9" t="s">
        <v>492</v>
      </c>
      <c r="R53" s="9" t="s">
        <v>493</v>
      </c>
    </row>
    <row r="54" customFormat="false" ht="44.25" hidden="false" customHeight="true" outlineLevel="0" collapsed="false">
      <c r="A54" s="6" t="s">
        <v>494</v>
      </c>
      <c r="B54" s="7" t="s">
        <v>418</v>
      </c>
      <c r="C54" s="8" t="n">
        <v>46410</v>
      </c>
      <c r="D54" s="7" t="s">
        <v>125</v>
      </c>
      <c r="E54" s="9" t="s">
        <v>35</v>
      </c>
      <c r="F54" s="7" t="s">
        <v>104</v>
      </c>
      <c r="G54" s="7" t="s">
        <v>126</v>
      </c>
      <c r="H54" s="9" t="s">
        <v>495</v>
      </c>
      <c r="I54" s="9" t="s">
        <v>496</v>
      </c>
      <c r="J54" s="9" t="s">
        <v>47</v>
      </c>
      <c r="K54" s="7" t="s">
        <v>26</v>
      </c>
      <c r="L54" s="9" t="s">
        <v>497</v>
      </c>
      <c r="M54" s="9" t="s">
        <v>498</v>
      </c>
      <c r="N54" s="9" t="s">
        <v>499</v>
      </c>
      <c r="O54" s="9" t="s">
        <v>500</v>
      </c>
      <c r="P54" s="7" t="s">
        <v>31</v>
      </c>
      <c r="Q54" s="9" t="s">
        <v>495</v>
      </c>
      <c r="R54" s="9" t="s">
        <v>501</v>
      </c>
    </row>
    <row r="55" customFormat="false" ht="44.25" hidden="false" customHeight="true" outlineLevel="0" collapsed="false">
      <c r="A55" s="6" t="s">
        <v>502</v>
      </c>
      <c r="B55" s="7" t="s">
        <v>418</v>
      </c>
      <c r="C55" s="8" t="n">
        <v>46413</v>
      </c>
      <c r="D55" s="7" t="s">
        <v>103</v>
      </c>
      <c r="E55" s="9" t="s">
        <v>44</v>
      </c>
      <c r="F55" s="7" t="s">
        <v>104</v>
      </c>
      <c r="G55" s="7" t="s">
        <v>105</v>
      </c>
      <c r="H55" s="9" t="s">
        <v>503</v>
      </c>
      <c r="I55" s="9" t="s">
        <v>504</v>
      </c>
      <c r="J55" s="9" t="s">
        <v>47</v>
      </c>
      <c r="K55" s="7" t="s">
        <v>26</v>
      </c>
      <c r="L55" s="9" t="s">
        <v>505</v>
      </c>
      <c r="M55" s="9" t="s">
        <v>506</v>
      </c>
      <c r="N55" s="9" t="s">
        <v>507</v>
      </c>
      <c r="O55" s="9" t="s">
        <v>508</v>
      </c>
      <c r="P55" s="7" t="s">
        <v>31</v>
      </c>
      <c r="Q55" s="9" t="s">
        <v>503</v>
      </c>
      <c r="R55" s="9" t="s">
        <v>509</v>
      </c>
    </row>
    <row r="56" customFormat="false" ht="44.25" hidden="false" customHeight="true" outlineLevel="0" collapsed="false">
      <c r="A56" s="6" t="s">
        <v>510</v>
      </c>
      <c r="B56" s="7" t="s">
        <v>418</v>
      </c>
      <c r="C56" s="8" t="n">
        <v>46415</v>
      </c>
      <c r="D56" s="7" t="s">
        <v>115</v>
      </c>
      <c r="E56" s="9" t="s">
        <v>35</v>
      </c>
      <c r="F56" s="7" t="s">
        <v>104</v>
      </c>
      <c r="G56" s="7" t="s">
        <v>117</v>
      </c>
      <c r="H56" s="9" t="s">
        <v>511</v>
      </c>
      <c r="I56" s="9" t="s">
        <v>512</v>
      </c>
      <c r="J56" s="9" t="s">
        <v>47</v>
      </c>
      <c r="K56" s="7" t="s">
        <v>38</v>
      </c>
      <c r="L56" s="9" t="s">
        <v>513</v>
      </c>
      <c r="M56" s="9" t="s">
        <v>514</v>
      </c>
      <c r="N56" s="9" t="s">
        <v>515</v>
      </c>
      <c r="O56" s="9" t="s">
        <v>516</v>
      </c>
      <c r="P56" s="7" t="s">
        <v>31</v>
      </c>
      <c r="Q56" s="9" t="s">
        <v>517</v>
      </c>
      <c r="R56" s="9" t="s">
        <v>518</v>
      </c>
    </row>
    <row r="57" customFormat="false" ht="44.25" hidden="false" customHeight="true" outlineLevel="0" collapsed="false">
      <c r="A57" s="6" t="s">
        <v>519</v>
      </c>
      <c r="B57" s="7" t="s">
        <v>418</v>
      </c>
      <c r="C57" s="8" t="n">
        <v>46417</v>
      </c>
      <c r="D57" s="7" t="s">
        <v>125</v>
      </c>
      <c r="E57" s="9" t="s">
        <v>35</v>
      </c>
      <c r="F57" s="7" t="s">
        <v>104</v>
      </c>
      <c r="G57" s="7" t="s">
        <v>126</v>
      </c>
      <c r="H57" s="9" t="s">
        <v>520</v>
      </c>
      <c r="I57" s="9" t="s">
        <v>521</v>
      </c>
      <c r="J57" s="9" t="s">
        <v>47</v>
      </c>
      <c r="K57" s="7" t="s">
        <v>26</v>
      </c>
      <c r="L57" s="9" t="s">
        <v>522</v>
      </c>
      <c r="M57" s="9" t="s">
        <v>523</v>
      </c>
      <c r="N57" s="9" t="s">
        <v>524</v>
      </c>
      <c r="O57" s="9" t="s">
        <v>525</v>
      </c>
      <c r="P57" s="7" t="s">
        <v>31</v>
      </c>
      <c r="Q57" s="9" t="s">
        <v>526</v>
      </c>
      <c r="R57" s="9" t="s">
        <v>527</v>
      </c>
    </row>
    <row r="58" customFormat="false" ht="44.25" hidden="false" customHeight="true" outlineLevel="0" collapsed="false">
      <c r="A58" s="10" t="s">
        <v>528</v>
      </c>
      <c r="B58" s="11" t="s">
        <v>529</v>
      </c>
      <c r="C58" s="12"/>
      <c r="D58" s="11"/>
      <c r="E58" s="13" t="s">
        <v>35</v>
      </c>
      <c r="F58" s="11" t="s">
        <v>104</v>
      </c>
      <c r="G58" s="11" t="s">
        <v>529</v>
      </c>
      <c r="H58" s="13" t="s">
        <v>530</v>
      </c>
      <c r="I58" s="13" t="s">
        <v>531</v>
      </c>
      <c r="J58" s="13" t="s">
        <v>532</v>
      </c>
      <c r="K58" s="11" t="s">
        <v>38</v>
      </c>
      <c r="L58" s="13" t="s">
        <v>533</v>
      </c>
      <c r="M58" s="13" t="s">
        <v>534</v>
      </c>
      <c r="N58" s="13" t="s">
        <v>535</v>
      </c>
      <c r="O58" s="13" t="s">
        <v>536</v>
      </c>
      <c r="P58" s="11" t="s">
        <v>31</v>
      </c>
      <c r="Q58" s="13" t="s">
        <v>530</v>
      </c>
      <c r="R58" s="13" t="s">
        <v>537</v>
      </c>
    </row>
    <row r="59" customFormat="false" ht="44.25" hidden="false" customHeight="true" outlineLevel="0" collapsed="false">
      <c r="A59" s="10" t="s">
        <v>538</v>
      </c>
      <c r="B59" s="11" t="s">
        <v>529</v>
      </c>
      <c r="C59" s="12"/>
      <c r="D59" s="11"/>
      <c r="E59" s="13" t="s">
        <v>74</v>
      </c>
      <c r="F59" s="11" t="s">
        <v>104</v>
      </c>
      <c r="G59" s="11" t="s">
        <v>529</v>
      </c>
      <c r="H59" s="13" t="s">
        <v>539</v>
      </c>
      <c r="I59" s="13" t="s">
        <v>540</v>
      </c>
      <c r="J59" s="13" t="s">
        <v>25</v>
      </c>
      <c r="K59" s="11" t="s">
        <v>26</v>
      </c>
      <c r="L59" s="13" t="s">
        <v>541</v>
      </c>
      <c r="M59" s="13" t="s">
        <v>542</v>
      </c>
      <c r="N59" s="13" t="s">
        <v>543</v>
      </c>
      <c r="O59" s="13" t="s">
        <v>544</v>
      </c>
      <c r="P59" s="11" t="s">
        <v>31</v>
      </c>
      <c r="Q59" s="13" t="s">
        <v>545</v>
      </c>
      <c r="R59" s="13" t="s">
        <v>546</v>
      </c>
    </row>
  </sheetData>
  <autoFilter ref="A1:R59"/>
  <dataValidations count="1">
    <dataValidation allowBlank="false" errorStyle="stop" operator="between" showDropDown="false" showErrorMessage="false" showInputMessage="false" sqref="P2:P59" type="list">
      <formula1>"Backlog,Brief listo,Borrador,En revisión,Programado,Publicado,Descartado"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5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3" min="3" style="0" width="36"/>
    <col collapsed="false" customWidth="true" hidden="false" outlineLevel="0" max="4" min="4" style="0" width="44"/>
    <col collapsed="false" customWidth="true" hidden="false" outlineLevel="0" max="5" min="5" style="0" width="40"/>
    <col collapsed="false" customWidth="true" hidden="false" outlineLevel="0" max="6" min="6" style="0" width="6"/>
    <col collapsed="false" customWidth="true" hidden="false" outlineLevel="0" max="7" min="7" style="0" width="50"/>
    <col collapsed="false" customWidth="true" hidden="false" outlineLevel="0" max="8" min="8" style="0" width="6"/>
    <col collapsed="false" customWidth="true" hidden="false" outlineLevel="0" max="9" min="9" style="0" width="46"/>
    <col collapsed="false" customWidth="true" hidden="false" outlineLevel="0" max="10" min="10" style="0" width="26"/>
    <col collapsed="false" customWidth="true" hidden="false" outlineLevel="0" max="11" min="11" style="0" width="44"/>
    <col collapsed="false" customWidth="true" hidden="false" outlineLevel="0" max="12" min="12" style="0" width="46"/>
    <col collapsed="false" customWidth="true" hidden="false" outlineLevel="0" max="13" min="13" style="0" width="52"/>
    <col collapsed="false" customWidth="true" hidden="false" outlineLevel="0" max="14" min="14" style="0" width="60"/>
    <col collapsed="false" customWidth="true" hidden="false" outlineLevel="0" max="15" min="15" style="0" width="13"/>
    <col collapsed="false" customWidth="true" hidden="false" outlineLevel="0" max="16" min="16" style="0" width="24"/>
    <col collapsed="false" customWidth="true" hidden="false" outlineLevel="0" max="17" min="17" style="0" width="40"/>
    <col collapsed="false" customWidth="true" hidden="false" outlineLevel="0" max="19" min="18" style="0" width="56"/>
    <col collapsed="false" customWidth="true" hidden="false" outlineLevel="0" max="20" min="20" style="0" width="12"/>
    <col collapsed="false" customWidth="true" hidden="false" outlineLevel="0" max="21" min="21" style="0" width="46"/>
    <col collapsed="false" customWidth="true" hidden="false" outlineLevel="0" max="22" min="22" style="0" width="34"/>
    <col collapsed="false" customWidth="true" hidden="false" outlineLevel="0" max="23" min="23" style="0" width="40"/>
    <col collapsed="false" customWidth="true" hidden="false" outlineLevel="0" max="24" min="24" style="0" width="12"/>
  </cols>
  <sheetData>
    <row r="1" customFormat="false" ht="33.75" hidden="false" customHeight="true" outlineLevel="0" collapsed="false">
      <c r="A1" s="1" t="s">
        <v>0</v>
      </c>
      <c r="B1" s="1" t="s">
        <v>2</v>
      </c>
      <c r="C1" s="1" t="s">
        <v>547</v>
      </c>
      <c r="D1" s="1" t="s">
        <v>548</v>
      </c>
      <c r="E1" s="1" t="s">
        <v>549</v>
      </c>
      <c r="F1" s="1" t="s">
        <v>550</v>
      </c>
      <c r="G1" s="1" t="s">
        <v>551</v>
      </c>
      <c r="H1" s="1" t="s">
        <v>550</v>
      </c>
      <c r="I1" s="1" t="s">
        <v>552</v>
      </c>
      <c r="J1" s="1" t="s">
        <v>553</v>
      </c>
      <c r="K1" s="1" t="s">
        <v>554</v>
      </c>
      <c r="L1" s="1" t="s">
        <v>555</v>
      </c>
      <c r="M1" s="1" t="s">
        <v>556</v>
      </c>
      <c r="N1" s="1" t="s">
        <v>557</v>
      </c>
      <c r="O1" s="1" t="s">
        <v>558</v>
      </c>
      <c r="P1" s="1" t="s">
        <v>559</v>
      </c>
      <c r="Q1" s="1" t="s">
        <v>560</v>
      </c>
      <c r="R1" s="1" t="s">
        <v>561</v>
      </c>
      <c r="S1" s="1" t="s">
        <v>562</v>
      </c>
      <c r="T1" s="1" t="s">
        <v>563</v>
      </c>
      <c r="U1" s="1" t="s">
        <v>12</v>
      </c>
      <c r="V1" s="1" t="s">
        <v>564</v>
      </c>
      <c r="W1" s="1" t="s">
        <v>565</v>
      </c>
      <c r="X1" s="1" t="s">
        <v>566</v>
      </c>
    </row>
    <row r="2" customFormat="false" ht="120.75" hidden="false" customHeight="true" outlineLevel="0" collapsed="false">
      <c r="A2" s="14" t="s">
        <v>18</v>
      </c>
      <c r="B2" s="4" t="n">
        <v>46304</v>
      </c>
      <c r="C2" s="5" t="s">
        <v>567</v>
      </c>
      <c r="D2" s="5" t="str">
        <f aca="false">"https://ferreteria57.com/blog/"&amp;C2</f>
        <v>https://ferreteria57.com/blog/marcas-truper-pretul-foset-volteck-guia</v>
      </c>
      <c r="E2" s="5" t="s">
        <v>568</v>
      </c>
      <c r="F2" s="3" t="n">
        <f aca="false">LEN(E2)</f>
        <v>51</v>
      </c>
      <c r="G2" s="5" t="s">
        <v>569</v>
      </c>
      <c r="H2" s="3" t="n">
        <f aca="false">LEN(G2)</f>
        <v>150</v>
      </c>
      <c r="I2" s="5" t="s">
        <v>23</v>
      </c>
      <c r="J2" s="5" t="s">
        <v>24</v>
      </c>
      <c r="K2" s="5" t="s">
        <v>570</v>
      </c>
      <c r="L2" s="5" t="s">
        <v>571</v>
      </c>
      <c r="M2" s="5" t="s">
        <v>572</v>
      </c>
      <c r="N2" s="5" t="s">
        <v>573</v>
      </c>
      <c r="O2" s="3" t="s">
        <v>574</v>
      </c>
      <c r="P2" s="5" t="s">
        <v>575</v>
      </c>
      <c r="Q2" s="5" t="s">
        <v>576</v>
      </c>
      <c r="R2" s="3" t="s">
        <v>577</v>
      </c>
      <c r="S2" s="3" t="s">
        <v>578</v>
      </c>
      <c r="T2" s="3" t="s">
        <v>579</v>
      </c>
      <c r="U2" s="5" t="s">
        <v>28</v>
      </c>
      <c r="V2" s="5" t="s">
        <v>580</v>
      </c>
      <c r="W2" s="5" t="s">
        <v>581</v>
      </c>
      <c r="X2" s="3" t="s">
        <v>582</v>
      </c>
    </row>
    <row r="3" customFormat="false" ht="408.75" hidden="false" customHeight="true" outlineLevel="0" collapsed="false">
      <c r="A3" s="14" t="s">
        <v>34</v>
      </c>
      <c r="B3" s="4" t="n">
        <v>46304</v>
      </c>
      <c r="C3" s="5" t="s">
        <v>583</v>
      </c>
      <c r="D3" s="5" t="str">
        <f aca="false">"https://ferreteria57.com/blog/"&amp;C3</f>
        <v>https://ferreteria57.com/blog/kit-basico-herramientas-hogar</v>
      </c>
      <c r="E3" s="5" t="s">
        <v>584</v>
      </c>
      <c r="F3" s="3" t="n">
        <f aca="false">LEN(E3)</f>
        <v>53</v>
      </c>
      <c r="G3" s="5" t="s">
        <v>585</v>
      </c>
      <c r="H3" s="3" t="n">
        <f aca="false">LEN(G3)</f>
        <v>151</v>
      </c>
      <c r="I3" s="5" t="s">
        <v>36</v>
      </c>
      <c r="J3" s="5" t="s">
        <v>37</v>
      </c>
      <c r="K3" s="5" t="s">
        <v>586</v>
      </c>
      <c r="L3" s="5" t="s">
        <v>587</v>
      </c>
      <c r="M3" s="5" t="s">
        <v>588</v>
      </c>
      <c r="N3" s="5" t="s">
        <v>589</v>
      </c>
      <c r="O3" s="3" t="s">
        <v>574</v>
      </c>
      <c r="P3" s="5" t="s">
        <v>575</v>
      </c>
      <c r="Q3" s="5" t="s">
        <v>590</v>
      </c>
      <c r="R3" s="3" t="s">
        <v>591</v>
      </c>
      <c r="S3" s="3" t="s">
        <v>592</v>
      </c>
      <c r="T3" s="3" t="s">
        <v>579</v>
      </c>
      <c r="U3" s="5" t="s">
        <v>40</v>
      </c>
      <c r="V3" s="5" t="s">
        <v>593</v>
      </c>
      <c r="W3" s="5" t="s">
        <v>594</v>
      </c>
      <c r="X3" s="3" t="s">
        <v>582</v>
      </c>
    </row>
    <row r="4" customFormat="false" ht="312.75" hidden="false" customHeight="true" outlineLevel="0" collapsed="false">
      <c r="A4" s="14" t="s">
        <v>43</v>
      </c>
      <c r="B4" s="4" t="n">
        <v>46304</v>
      </c>
      <c r="C4" s="5" t="s">
        <v>595</v>
      </c>
      <c r="D4" s="5" t="str">
        <f aca="false">"https://ferreteria57.com/blog/"&amp;C4</f>
        <v>https://ferreteria57.com/blog/como-escoger-broca-correcta-para-cada-material</v>
      </c>
      <c r="E4" s="5" t="s">
        <v>596</v>
      </c>
      <c r="F4" s="3" t="n">
        <f aca="false">LEN(E4)</f>
        <v>48</v>
      </c>
      <c r="G4" s="5" t="s">
        <v>597</v>
      </c>
      <c r="H4" s="3" t="n">
        <f aca="false">LEN(G4)</f>
        <v>141</v>
      </c>
      <c r="I4" s="5" t="s">
        <v>45</v>
      </c>
      <c r="J4" s="5" t="s">
        <v>46</v>
      </c>
      <c r="K4" s="5" t="s">
        <v>598</v>
      </c>
      <c r="L4" s="5" t="s">
        <v>599</v>
      </c>
      <c r="M4" s="5" t="s">
        <v>600</v>
      </c>
      <c r="N4" s="5" t="s">
        <v>601</v>
      </c>
      <c r="O4" s="3" t="s">
        <v>574</v>
      </c>
      <c r="P4" s="5" t="s">
        <v>575</v>
      </c>
      <c r="Q4" s="5" t="s">
        <v>602</v>
      </c>
      <c r="R4" s="3" t="s">
        <v>603</v>
      </c>
      <c r="S4" s="3" t="s">
        <v>604</v>
      </c>
      <c r="T4" s="3" t="s">
        <v>579</v>
      </c>
      <c r="U4" s="5" t="s">
        <v>49</v>
      </c>
      <c r="V4" s="5" t="s">
        <v>605</v>
      </c>
      <c r="W4" s="5" t="s">
        <v>606</v>
      </c>
      <c r="X4" s="3" t="s">
        <v>582</v>
      </c>
    </row>
    <row r="5" customFormat="false" ht="312.75" hidden="false" customHeight="true" outlineLevel="0" collapsed="false">
      <c r="A5" s="14" t="s">
        <v>53</v>
      </c>
      <c r="B5" s="4" t="n">
        <v>46304</v>
      </c>
      <c r="C5" s="5" t="s">
        <v>607</v>
      </c>
      <c r="D5" s="5" t="str">
        <f aca="false">"https://ferreteria57.com/blog/"&amp;C5</f>
        <v>https://ferreteria57.com/blog/diferencias-tuberia-ppr-pvc-cpvc-cobre</v>
      </c>
      <c r="E5" s="5" t="s">
        <v>608</v>
      </c>
      <c r="F5" s="3" t="n">
        <f aca="false">LEN(E5)</f>
        <v>55</v>
      </c>
      <c r="G5" s="5" t="s">
        <v>609</v>
      </c>
      <c r="H5" s="3" t="n">
        <f aca="false">LEN(G5)</f>
        <v>141</v>
      </c>
      <c r="I5" s="5" t="s">
        <v>55</v>
      </c>
      <c r="J5" s="5" t="s">
        <v>56</v>
      </c>
      <c r="K5" s="5" t="s">
        <v>610</v>
      </c>
      <c r="L5" s="5" t="s">
        <v>611</v>
      </c>
      <c r="M5" s="5" t="s">
        <v>612</v>
      </c>
      <c r="N5" s="5" t="s">
        <v>613</v>
      </c>
      <c r="O5" s="3" t="s">
        <v>574</v>
      </c>
      <c r="P5" s="5" t="s">
        <v>575</v>
      </c>
      <c r="Q5" s="5" t="s">
        <v>614</v>
      </c>
      <c r="R5" s="3" t="s">
        <v>615</v>
      </c>
      <c r="S5" s="3" t="s">
        <v>616</v>
      </c>
      <c r="T5" s="3" t="s">
        <v>579</v>
      </c>
      <c r="U5" s="5" t="s">
        <v>58</v>
      </c>
      <c r="V5" s="5" t="s">
        <v>617</v>
      </c>
      <c r="W5" s="5" t="s">
        <v>618</v>
      </c>
      <c r="X5" s="3" t="s">
        <v>582</v>
      </c>
    </row>
    <row r="6" customFormat="false" ht="159" hidden="false" customHeight="true" outlineLevel="0" collapsed="false">
      <c r="A6" s="14" t="s">
        <v>63</v>
      </c>
      <c r="B6" s="4" t="n">
        <v>46304</v>
      </c>
      <c r="C6" s="5" t="s">
        <v>619</v>
      </c>
      <c r="D6" s="5" t="str">
        <f aca="false">"https://ferreteria57.com/blog/"&amp;C6</f>
        <v>https://ferreteria57.com/blog/calibre-de-cable-electrico-para-cada-electrodomestico</v>
      </c>
      <c r="E6" s="5" t="s">
        <v>620</v>
      </c>
      <c r="F6" s="3" t="n">
        <f aca="false">LEN(E6)</f>
        <v>53</v>
      </c>
      <c r="G6" s="5" t="s">
        <v>621</v>
      </c>
      <c r="H6" s="3" t="n">
        <f aca="false">LEN(G6)</f>
        <v>137</v>
      </c>
      <c r="I6" s="5" t="s">
        <v>65</v>
      </c>
      <c r="J6" s="5" t="s">
        <v>66</v>
      </c>
      <c r="K6" s="5" t="s">
        <v>622</v>
      </c>
      <c r="L6" s="5" t="s">
        <v>623</v>
      </c>
      <c r="M6" s="5" t="s">
        <v>624</v>
      </c>
      <c r="N6" s="5" t="s">
        <v>625</v>
      </c>
      <c r="O6" s="3" t="s">
        <v>574</v>
      </c>
      <c r="P6" s="5" t="s">
        <v>575</v>
      </c>
      <c r="Q6" s="5" t="s">
        <v>626</v>
      </c>
      <c r="R6" s="3" t="s">
        <v>627</v>
      </c>
      <c r="S6" s="3" t="s">
        <v>628</v>
      </c>
      <c r="T6" s="3" t="s">
        <v>579</v>
      </c>
      <c r="U6" s="5" t="s">
        <v>68</v>
      </c>
      <c r="V6" s="5" t="s">
        <v>617</v>
      </c>
      <c r="W6" s="5" t="s">
        <v>629</v>
      </c>
      <c r="X6" s="3" t="s">
        <v>582</v>
      </c>
    </row>
    <row r="7" customFormat="false" ht="184.5" hidden="false" customHeight="true" outlineLevel="0" collapsed="false">
      <c r="A7" s="14" t="s">
        <v>73</v>
      </c>
      <c r="B7" s="4" t="n">
        <v>46304</v>
      </c>
      <c r="C7" s="5" t="s">
        <v>630</v>
      </c>
      <c r="D7" s="5" t="str">
        <f aca="false">"https://ferreteria57.com/blog/"&amp;C7</f>
        <v>https://ferreteria57.com/blog/salitre-y-humedad-en-muros-queretaro</v>
      </c>
      <c r="E7" s="5" t="s">
        <v>631</v>
      </c>
      <c r="F7" s="3" t="n">
        <f aca="false">LEN(E7)</f>
        <v>55</v>
      </c>
      <c r="G7" s="5" t="s">
        <v>632</v>
      </c>
      <c r="H7" s="3" t="n">
        <f aca="false">LEN(G7)</f>
        <v>139</v>
      </c>
      <c r="I7" s="5" t="s">
        <v>75</v>
      </c>
      <c r="J7" s="5" t="s">
        <v>76</v>
      </c>
      <c r="K7" s="5" t="s">
        <v>633</v>
      </c>
      <c r="L7" s="5" t="s">
        <v>634</v>
      </c>
      <c r="M7" s="5" t="s">
        <v>635</v>
      </c>
      <c r="N7" s="5" t="s">
        <v>636</v>
      </c>
      <c r="O7" s="3" t="s">
        <v>574</v>
      </c>
      <c r="P7" s="5" t="s">
        <v>575</v>
      </c>
      <c r="Q7" s="5" t="s">
        <v>637</v>
      </c>
      <c r="R7" s="3" t="s">
        <v>638</v>
      </c>
      <c r="S7" s="3" t="s">
        <v>639</v>
      </c>
      <c r="T7" s="3" t="s">
        <v>92</v>
      </c>
      <c r="U7" s="5" t="s">
        <v>78</v>
      </c>
      <c r="V7" s="5" t="s">
        <v>617</v>
      </c>
      <c r="W7" s="5" t="s">
        <v>640</v>
      </c>
      <c r="X7" s="3" t="s">
        <v>582</v>
      </c>
    </row>
    <row r="8" customFormat="false" ht="120.75" hidden="false" customHeight="true" outlineLevel="0" collapsed="false">
      <c r="A8" s="14" t="s">
        <v>83</v>
      </c>
      <c r="B8" s="4" t="n">
        <v>46304</v>
      </c>
      <c r="C8" s="5" t="s">
        <v>641</v>
      </c>
      <c r="D8" s="5" t="str">
        <f aca="false">"https://ferreteria57.com/blog/"&amp;C8</f>
        <v>https://ferreteria57.com/blog/instalar-tinaco-o-cisterna-queretaro</v>
      </c>
      <c r="E8" s="5" t="s">
        <v>642</v>
      </c>
      <c r="F8" s="3" t="n">
        <f aca="false">LEN(E8)</f>
        <v>51</v>
      </c>
      <c r="G8" s="5" t="s">
        <v>643</v>
      </c>
      <c r="H8" s="3" t="n">
        <f aca="false">LEN(G8)</f>
        <v>145</v>
      </c>
      <c r="I8" s="5" t="s">
        <v>84</v>
      </c>
      <c r="J8" s="5" t="s">
        <v>85</v>
      </c>
      <c r="K8" s="5" t="s">
        <v>644</v>
      </c>
      <c r="L8" s="5" t="s">
        <v>645</v>
      </c>
      <c r="M8" s="5" t="s">
        <v>646</v>
      </c>
      <c r="N8" s="5" t="s">
        <v>647</v>
      </c>
      <c r="O8" s="3" t="s">
        <v>574</v>
      </c>
      <c r="P8" s="5" t="s">
        <v>575</v>
      </c>
      <c r="Q8" s="5" t="s">
        <v>648</v>
      </c>
      <c r="R8" s="3" t="s">
        <v>649</v>
      </c>
      <c r="S8" s="3" t="s">
        <v>650</v>
      </c>
      <c r="T8" s="3" t="s">
        <v>53</v>
      </c>
      <c r="U8" s="5" t="s">
        <v>87</v>
      </c>
      <c r="V8" s="5" t="s">
        <v>617</v>
      </c>
      <c r="W8" s="5" t="s">
        <v>651</v>
      </c>
      <c r="X8" s="3" t="s">
        <v>582</v>
      </c>
    </row>
    <row r="9" customFormat="false" ht="184.5" hidden="false" customHeight="true" outlineLevel="0" collapsed="false">
      <c r="A9" s="14" t="s">
        <v>92</v>
      </c>
      <c r="B9" s="4" t="n">
        <v>46304</v>
      </c>
      <c r="C9" s="5" t="s">
        <v>652</v>
      </c>
      <c r="D9" s="5" t="str">
        <f aca="false">"https://ferreteria57.com/blog/"&amp;C9</f>
        <v>https://ferreteria57.com/blog/brocha-o-rodillo-segun-pintura-vinilica-esmalte</v>
      </c>
      <c r="E9" s="5" t="s">
        <v>653</v>
      </c>
      <c r="F9" s="3" t="n">
        <f aca="false">LEN(E9)</f>
        <v>58</v>
      </c>
      <c r="G9" s="5" t="s">
        <v>654</v>
      </c>
      <c r="H9" s="3" t="n">
        <f aca="false">LEN(G9)</f>
        <v>135</v>
      </c>
      <c r="I9" s="5" t="s">
        <v>93</v>
      </c>
      <c r="J9" s="5" t="s">
        <v>94</v>
      </c>
      <c r="K9" s="5" t="s">
        <v>655</v>
      </c>
      <c r="L9" s="5" t="s">
        <v>656</v>
      </c>
      <c r="M9" s="5" t="s">
        <v>657</v>
      </c>
      <c r="N9" s="5" t="s">
        <v>658</v>
      </c>
      <c r="O9" s="3" t="s">
        <v>574</v>
      </c>
      <c r="P9" s="5" t="s">
        <v>575</v>
      </c>
      <c r="Q9" s="5" t="s">
        <v>659</v>
      </c>
      <c r="R9" s="3" t="s">
        <v>660</v>
      </c>
      <c r="S9" s="3" t="s">
        <v>661</v>
      </c>
      <c r="T9" s="3" t="s">
        <v>579</v>
      </c>
      <c r="U9" s="5" t="s">
        <v>96</v>
      </c>
      <c r="V9" s="5" t="s">
        <v>32</v>
      </c>
      <c r="W9" s="5" t="s">
        <v>662</v>
      </c>
      <c r="X9" s="3" t="s">
        <v>582</v>
      </c>
    </row>
    <row r="10" customFormat="false" ht="171.75" hidden="false" customHeight="true" outlineLevel="0" collapsed="false">
      <c r="A10" s="15" t="s">
        <v>101</v>
      </c>
      <c r="B10" s="8" t="n">
        <v>46308</v>
      </c>
      <c r="C10" s="9" t="s">
        <v>663</v>
      </c>
      <c r="D10" s="9" t="str">
        <f aca="false">"https://ferreteria57.com/blog/"&amp;C10</f>
        <v>https://ferreteria57.com/blog/tipos-de-taquetes-tablaroca-concreto-ladrillo-hueco</v>
      </c>
      <c r="E10" s="9" t="s">
        <v>664</v>
      </c>
      <c r="F10" s="7" t="n">
        <f aca="false">LEN(E10)</f>
        <v>52</v>
      </c>
      <c r="G10" s="9" t="s">
        <v>665</v>
      </c>
      <c r="H10" s="7" t="n">
        <f aca="false">LEN(G10)</f>
        <v>136</v>
      </c>
      <c r="I10" s="9" t="s">
        <v>106</v>
      </c>
      <c r="J10" s="9" t="s">
        <v>107</v>
      </c>
      <c r="K10" s="9" t="s">
        <v>666</v>
      </c>
      <c r="L10" s="9" t="s">
        <v>667</v>
      </c>
      <c r="M10" s="9" t="s">
        <v>668</v>
      </c>
      <c r="N10" s="9" t="s">
        <v>669</v>
      </c>
      <c r="O10" s="7" t="s">
        <v>670</v>
      </c>
      <c r="P10" s="9" t="s">
        <v>575</v>
      </c>
      <c r="Q10" s="9" t="s">
        <v>671</v>
      </c>
      <c r="R10" s="7" t="s">
        <v>672</v>
      </c>
      <c r="S10" s="7" t="s">
        <v>673</v>
      </c>
      <c r="T10" s="7" t="s">
        <v>43</v>
      </c>
      <c r="U10" s="9" t="s">
        <v>109</v>
      </c>
      <c r="V10" s="9" t="s">
        <v>674</v>
      </c>
      <c r="W10" s="9" t="s">
        <v>675</v>
      </c>
      <c r="X10" s="7" t="s">
        <v>582</v>
      </c>
    </row>
    <row r="11" customFormat="false" ht="120.75" hidden="false" customHeight="true" outlineLevel="0" collapsed="false">
      <c r="A11" s="15" t="s">
        <v>114</v>
      </c>
      <c r="B11" s="8" t="n">
        <v>46310</v>
      </c>
      <c r="C11" s="9" t="s">
        <v>676</v>
      </c>
      <c r="D11" s="9" t="str">
        <f aca="false">"https://ferreteria57.com/blog/"&amp;C11</f>
        <v>https://ferreteria57.com/blog/club-57-como-ganar-puntos-ferreteria-57</v>
      </c>
      <c r="E11" s="9" t="s">
        <v>677</v>
      </c>
      <c r="F11" s="7" t="n">
        <f aca="false">LEN(E11)</f>
        <v>56</v>
      </c>
      <c r="G11" s="9" t="s">
        <v>678</v>
      </c>
      <c r="H11" s="7" t="n">
        <f aca="false">LEN(G11)</f>
        <v>144</v>
      </c>
      <c r="I11" s="9" t="s">
        <v>118</v>
      </c>
      <c r="J11" s="9" t="s">
        <v>119</v>
      </c>
      <c r="K11" s="9" t="s">
        <v>679</v>
      </c>
      <c r="L11" s="9" t="s">
        <v>680</v>
      </c>
      <c r="M11" s="9" t="s">
        <v>681</v>
      </c>
      <c r="N11" s="9" t="s">
        <v>682</v>
      </c>
      <c r="O11" s="7" t="s">
        <v>683</v>
      </c>
      <c r="P11" s="9" t="s">
        <v>575</v>
      </c>
      <c r="Q11" s="9" t="s">
        <v>684</v>
      </c>
      <c r="R11" s="7" t="s">
        <v>685</v>
      </c>
      <c r="S11" s="7" t="s">
        <v>686</v>
      </c>
      <c r="T11" s="7" t="s">
        <v>18</v>
      </c>
      <c r="U11" s="9" t="s">
        <v>121</v>
      </c>
      <c r="V11" s="9" t="s">
        <v>687</v>
      </c>
      <c r="W11" s="9" t="s">
        <v>688</v>
      </c>
      <c r="X11" s="7" t="s">
        <v>582</v>
      </c>
    </row>
    <row r="12" customFormat="false" ht="146.25" hidden="false" customHeight="true" outlineLevel="0" collapsed="false">
      <c r="A12" s="15" t="s">
        <v>124</v>
      </c>
      <c r="B12" s="8" t="n">
        <v>46312</v>
      </c>
      <c r="C12" s="9" t="s">
        <v>689</v>
      </c>
      <c r="D12" s="9" t="str">
        <f aca="false">"https://ferreteria57.com/blog/"&amp;C12</f>
        <v>https://ferreteria57.com/blog/como-destapar-tuberia-lavabo-sin-danar-pvc</v>
      </c>
      <c r="E12" s="9" t="s">
        <v>690</v>
      </c>
      <c r="F12" s="7" t="n">
        <f aca="false">LEN(E12)</f>
        <v>51</v>
      </c>
      <c r="G12" s="9" t="s">
        <v>691</v>
      </c>
      <c r="H12" s="7" t="n">
        <f aca="false">LEN(G12)</f>
        <v>131</v>
      </c>
      <c r="I12" s="9" t="s">
        <v>127</v>
      </c>
      <c r="J12" s="9" t="s">
        <v>128</v>
      </c>
      <c r="K12" s="9" t="s">
        <v>692</v>
      </c>
      <c r="L12" s="9" t="s">
        <v>693</v>
      </c>
      <c r="M12" s="9" t="s">
        <v>694</v>
      </c>
      <c r="N12" s="9" t="s">
        <v>695</v>
      </c>
      <c r="O12" s="7" t="s">
        <v>696</v>
      </c>
      <c r="P12" s="9" t="s">
        <v>575</v>
      </c>
      <c r="Q12" s="9" t="s">
        <v>697</v>
      </c>
      <c r="R12" s="7" t="s">
        <v>649</v>
      </c>
      <c r="S12" s="7" t="s">
        <v>698</v>
      </c>
      <c r="T12" s="7" t="s">
        <v>53</v>
      </c>
      <c r="U12" s="9" t="s">
        <v>130</v>
      </c>
      <c r="V12" s="9" t="s">
        <v>32</v>
      </c>
      <c r="W12" s="9" t="s">
        <v>699</v>
      </c>
      <c r="X12" s="7" t="s">
        <v>582</v>
      </c>
    </row>
    <row r="13" customFormat="false" ht="159" hidden="false" customHeight="true" outlineLevel="0" collapsed="false">
      <c r="A13" s="15" t="s">
        <v>135</v>
      </c>
      <c r="B13" s="8" t="n">
        <v>46315</v>
      </c>
      <c r="C13" s="9" t="s">
        <v>700</v>
      </c>
      <c r="D13" s="9" t="str">
        <f aca="false">"https://ferreteria57.com/blog/"&amp;C13</f>
        <v>https://ferreteria57.com/blog/como-elegir-candado-anticizalla-exteriores-cortinas</v>
      </c>
      <c r="E13" s="9" t="s">
        <v>701</v>
      </c>
      <c r="F13" s="7" t="n">
        <f aca="false">LEN(E13)</f>
        <v>48</v>
      </c>
      <c r="G13" s="9" t="s">
        <v>702</v>
      </c>
      <c r="H13" s="7" t="n">
        <f aca="false">LEN(G13)</f>
        <v>133</v>
      </c>
      <c r="I13" s="9" t="s">
        <v>137</v>
      </c>
      <c r="J13" s="9" t="s">
        <v>138</v>
      </c>
      <c r="K13" s="9" t="s">
        <v>703</v>
      </c>
      <c r="L13" s="9" t="s">
        <v>704</v>
      </c>
      <c r="M13" s="9" t="s">
        <v>705</v>
      </c>
      <c r="N13" s="9" t="s">
        <v>706</v>
      </c>
      <c r="O13" s="7" t="s">
        <v>670</v>
      </c>
      <c r="P13" s="9" t="s">
        <v>575</v>
      </c>
      <c r="Q13" s="9" t="s">
        <v>707</v>
      </c>
      <c r="R13" s="7" t="s">
        <v>32</v>
      </c>
      <c r="S13" s="7" t="s">
        <v>708</v>
      </c>
      <c r="T13" s="7" t="s">
        <v>579</v>
      </c>
      <c r="U13" s="9" t="s">
        <v>140</v>
      </c>
      <c r="V13" s="9" t="s">
        <v>617</v>
      </c>
      <c r="W13" s="9" t="s">
        <v>709</v>
      </c>
      <c r="X13" s="7" t="s">
        <v>582</v>
      </c>
    </row>
    <row r="14" customFormat="false" ht="184.5" hidden="false" customHeight="true" outlineLevel="0" collapsed="false">
      <c r="A14" s="15" t="s">
        <v>145</v>
      </c>
      <c r="B14" s="8" t="n">
        <v>46317</v>
      </c>
      <c r="C14" s="9" t="s">
        <v>710</v>
      </c>
      <c r="D14" s="9" t="str">
        <f aca="false">"https://ferreteria57.com/blog/"&amp;C14</f>
        <v>https://ferreteria57.com/blog/cinta-teflon-que-es-para-que-sirve-como-aplicarla</v>
      </c>
      <c r="E14" s="9" t="s">
        <v>711</v>
      </c>
      <c r="F14" s="7" t="n">
        <f aca="false">LEN(E14)</f>
        <v>50</v>
      </c>
      <c r="G14" s="9" t="s">
        <v>712</v>
      </c>
      <c r="H14" s="7" t="n">
        <f aca="false">LEN(G14)</f>
        <v>139</v>
      </c>
      <c r="I14" s="9" t="s">
        <v>146</v>
      </c>
      <c r="J14" s="9" t="s">
        <v>147</v>
      </c>
      <c r="K14" s="9" t="s">
        <v>713</v>
      </c>
      <c r="L14" s="9" t="s">
        <v>714</v>
      </c>
      <c r="M14" s="9" t="s">
        <v>715</v>
      </c>
      <c r="N14" s="9" t="s">
        <v>716</v>
      </c>
      <c r="O14" s="7" t="s">
        <v>683</v>
      </c>
      <c r="P14" s="9" t="s">
        <v>575</v>
      </c>
      <c r="Q14" s="9" t="s">
        <v>717</v>
      </c>
      <c r="R14" s="7" t="s">
        <v>718</v>
      </c>
      <c r="S14" s="7" t="s">
        <v>719</v>
      </c>
      <c r="T14" s="7" t="s">
        <v>53</v>
      </c>
      <c r="U14" s="9" t="s">
        <v>149</v>
      </c>
      <c r="V14" s="9" t="s">
        <v>32</v>
      </c>
      <c r="W14" s="9" t="s">
        <v>720</v>
      </c>
      <c r="X14" s="7" t="s">
        <v>582</v>
      </c>
    </row>
    <row r="15" customFormat="false" ht="133.5" hidden="false" customHeight="true" outlineLevel="0" collapsed="false">
      <c r="A15" s="15" t="s">
        <v>154</v>
      </c>
      <c r="B15" s="8" t="n">
        <v>46319</v>
      </c>
      <c r="C15" s="9" t="s">
        <v>721</v>
      </c>
      <c r="D15" s="9" t="str">
        <f aca="false">"https://ferreteria57.com/blog/"&amp;C15</f>
        <v>https://ferreteria57.com/blog/mantenimiento-calentador-solar-antes-del-frio</v>
      </c>
      <c r="E15" s="9" t="s">
        <v>722</v>
      </c>
      <c r="F15" s="7" t="n">
        <f aca="false">LEN(E15)</f>
        <v>49</v>
      </c>
      <c r="G15" s="9" t="s">
        <v>723</v>
      </c>
      <c r="H15" s="7" t="n">
        <f aca="false">LEN(G15)</f>
        <v>146</v>
      </c>
      <c r="I15" s="9" t="s">
        <v>155</v>
      </c>
      <c r="J15" s="9" t="s">
        <v>156</v>
      </c>
      <c r="K15" s="9" t="s">
        <v>724</v>
      </c>
      <c r="L15" s="9" t="s">
        <v>725</v>
      </c>
      <c r="M15" s="9" t="s">
        <v>726</v>
      </c>
      <c r="N15" s="9" t="s">
        <v>727</v>
      </c>
      <c r="O15" s="7" t="s">
        <v>696</v>
      </c>
      <c r="P15" s="9" t="s">
        <v>575</v>
      </c>
      <c r="Q15" s="9" t="s">
        <v>728</v>
      </c>
      <c r="R15" s="7" t="s">
        <v>649</v>
      </c>
      <c r="S15" s="7" t="s">
        <v>729</v>
      </c>
      <c r="T15" s="7" t="s">
        <v>53</v>
      </c>
      <c r="U15" s="9" t="s">
        <v>158</v>
      </c>
      <c r="V15" s="9" t="s">
        <v>617</v>
      </c>
      <c r="W15" s="9" t="s">
        <v>730</v>
      </c>
      <c r="X15" s="7" t="s">
        <v>582</v>
      </c>
    </row>
    <row r="16" customFormat="false" ht="146.25" hidden="false" customHeight="true" outlineLevel="0" collapsed="false">
      <c r="A16" s="15" t="s">
        <v>163</v>
      </c>
      <c r="B16" s="8" t="n">
        <v>46322</v>
      </c>
      <c r="C16" s="9" t="s">
        <v>731</v>
      </c>
      <c r="D16" s="9" t="str">
        <f aca="false">"https://ferreteria57.com/blog/"&amp;C16</f>
        <v>https://ferreteria57.com/blog/peligro-diablitos-y-falsos-contactos-instalacion-electrica</v>
      </c>
      <c r="E16" s="9" t="s">
        <v>732</v>
      </c>
      <c r="F16" s="7" t="n">
        <f aca="false">LEN(E16)</f>
        <v>55</v>
      </c>
      <c r="G16" s="9" t="s">
        <v>733</v>
      </c>
      <c r="H16" s="7" t="n">
        <f aca="false">LEN(G16)</f>
        <v>147</v>
      </c>
      <c r="I16" s="9" t="s">
        <v>164</v>
      </c>
      <c r="J16" s="9" t="s">
        <v>165</v>
      </c>
      <c r="K16" s="9" t="s">
        <v>734</v>
      </c>
      <c r="L16" s="9" t="s">
        <v>735</v>
      </c>
      <c r="M16" s="9" t="s">
        <v>736</v>
      </c>
      <c r="N16" s="9" t="s">
        <v>737</v>
      </c>
      <c r="O16" s="7" t="s">
        <v>670</v>
      </c>
      <c r="P16" s="9" t="s">
        <v>575</v>
      </c>
      <c r="Q16" s="9" t="s">
        <v>738</v>
      </c>
      <c r="R16" s="7" t="s">
        <v>739</v>
      </c>
      <c r="S16" s="7" t="s">
        <v>740</v>
      </c>
      <c r="T16" s="7" t="s">
        <v>63</v>
      </c>
      <c r="U16" s="9" t="s">
        <v>167</v>
      </c>
      <c r="V16" s="9" t="s">
        <v>32</v>
      </c>
      <c r="W16" s="9" t="s">
        <v>741</v>
      </c>
      <c r="X16" s="7" t="s">
        <v>582</v>
      </c>
    </row>
    <row r="17" customFormat="false" ht="108" hidden="false" customHeight="true" outlineLevel="0" collapsed="false">
      <c r="A17" s="15" t="s">
        <v>172</v>
      </c>
      <c r="B17" s="8" t="n">
        <v>46324</v>
      </c>
      <c r="C17" s="9" t="s">
        <v>742</v>
      </c>
      <c r="D17" s="9" t="str">
        <f aca="false">"https://ferreteria57.com/blog/"&amp;C17</f>
        <v>https://ferreteria57.com/blog/conectores-electricos-capuchones-cinta-aislar-regletas</v>
      </c>
      <c r="E17" s="9" t="s">
        <v>743</v>
      </c>
      <c r="F17" s="7" t="n">
        <f aca="false">LEN(E17)</f>
        <v>51</v>
      </c>
      <c r="G17" s="9" t="s">
        <v>744</v>
      </c>
      <c r="H17" s="7" t="n">
        <f aca="false">LEN(G17)</f>
        <v>138</v>
      </c>
      <c r="I17" s="9" t="s">
        <v>173</v>
      </c>
      <c r="J17" s="9" t="s">
        <v>174</v>
      </c>
      <c r="K17" s="9" t="s">
        <v>745</v>
      </c>
      <c r="L17" s="9" t="s">
        <v>746</v>
      </c>
      <c r="M17" s="9" t="s">
        <v>747</v>
      </c>
      <c r="N17" s="9" t="s">
        <v>748</v>
      </c>
      <c r="O17" s="7" t="s">
        <v>683</v>
      </c>
      <c r="P17" s="9" t="s">
        <v>575</v>
      </c>
      <c r="Q17" s="9" t="s">
        <v>749</v>
      </c>
      <c r="R17" s="7" t="s">
        <v>750</v>
      </c>
      <c r="S17" s="7" t="s">
        <v>751</v>
      </c>
      <c r="T17" s="7" t="s">
        <v>63</v>
      </c>
      <c r="U17" s="9" t="s">
        <v>176</v>
      </c>
      <c r="V17" s="9" t="s">
        <v>32</v>
      </c>
      <c r="W17" s="9" t="s">
        <v>752</v>
      </c>
      <c r="X17" s="7" t="s">
        <v>582</v>
      </c>
    </row>
    <row r="18" customFormat="false" ht="108" hidden="false" customHeight="true" outlineLevel="0" collapsed="false">
      <c r="A18" s="15" t="s">
        <v>181</v>
      </c>
      <c r="B18" s="8" t="n">
        <v>46326</v>
      </c>
      <c r="C18" s="9" t="s">
        <v>753</v>
      </c>
      <c r="D18" s="9" t="str">
        <f aca="false">"https://ferreteria57.com/blog/"&amp;C18</f>
        <v>https://ferreteria57.com/blog/como-purgar-boiler-calentador-de-agua-sarro</v>
      </c>
      <c r="E18" s="9" t="s">
        <v>754</v>
      </c>
      <c r="F18" s="7" t="n">
        <f aca="false">LEN(E18)</f>
        <v>56</v>
      </c>
      <c r="G18" s="9" t="s">
        <v>755</v>
      </c>
      <c r="H18" s="7" t="n">
        <f aca="false">LEN(G18)</f>
        <v>137</v>
      </c>
      <c r="I18" s="9" t="s">
        <v>182</v>
      </c>
      <c r="J18" s="9" t="s">
        <v>183</v>
      </c>
      <c r="K18" s="9" t="s">
        <v>756</v>
      </c>
      <c r="L18" s="9" t="s">
        <v>757</v>
      </c>
      <c r="M18" s="9" t="s">
        <v>758</v>
      </c>
      <c r="N18" s="9" t="s">
        <v>759</v>
      </c>
      <c r="O18" s="7" t="s">
        <v>696</v>
      </c>
      <c r="P18" s="9" t="s">
        <v>575</v>
      </c>
      <c r="Q18" s="9" t="s">
        <v>760</v>
      </c>
      <c r="R18" s="7" t="s">
        <v>761</v>
      </c>
      <c r="S18" s="7" t="s">
        <v>762</v>
      </c>
      <c r="T18" s="7" t="s">
        <v>53</v>
      </c>
      <c r="U18" s="9" t="s">
        <v>185</v>
      </c>
      <c r="V18" s="9" t="s">
        <v>617</v>
      </c>
      <c r="W18" s="9" t="s">
        <v>763</v>
      </c>
      <c r="X18" s="7" t="s">
        <v>582</v>
      </c>
    </row>
    <row r="19" customFormat="false" ht="120.75" hidden="false" customHeight="true" outlineLevel="0" collapsed="false">
      <c r="A19" s="15" t="s">
        <v>189</v>
      </c>
      <c r="B19" s="8" t="n">
        <v>46329</v>
      </c>
      <c r="C19" s="9" t="s">
        <v>764</v>
      </c>
      <c r="D19" s="9" t="str">
        <f aca="false">"https://ferreteria57.com/blog/"&amp;C19</f>
        <v>https://ferreteria57.com/blog/como-elegir-bomba-de-agua-periferica-centrifuga</v>
      </c>
      <c r="E19" s="9" t="s">
        <v>765</v>
      </c>
      <c r="F19" s="7" t="n">
        <f aca="false">LEN(E19)</f>
        <v>51</v>
      </c>
      <c r="G19" s="9" t="s">
        <v>766</v>
      </c>
      <c r="H19" s="7" t="n">
        <f aca="false">LEN(G19)</f>
        <v>121</v>
      </c>
      <c r="I19" s="9" t="s">
        <v>191</v>
      </c>
      <c r="J19" s="9" t="s">
        <v>192</v>
      </c>
      <c r="K19" s="9" t="s">
        <v>767</v>
      </c>
      <c r="L19" s="9" t="s">
        <v>768</v>
      </c>
      <c r="M19" s="9" t="s">
        <v>769</v>
      </c>
      <c r="N19" s="9" t="s">
        <v>770</v>
      </c>
      <c r="O19" s="7" t="s">
        <v>670</v>
      </c>
      <c r="P19" s="9" t="s">
        <v>575</v>
      </c>
      <c r="Q19" s="9" t="s">
        <v>771</v>
      </c>
      <c r="R19" s="7" t="s">
        <v>772</v>
      </c>
      <c r="S19" s="7" t="s">
        <v>773</v>
      </c>
      <c r="T19" s="7" t="s">
        <v>53</v>
      </c>
      <c r="U19" s="9" t="s">
        <v>194</v>
      </c>
      <c r="V19" s="9" t="s">
        <v>774</v>
      </c>
      <c r="W19" s="9" t="s">
        <v>775</v>
      </c>
      <c r="X19" s="7" t="s">
        <v>582</v>
      </c>
    </row>
    <row r="20" customFormat="false" ht="184.5" hidden="false" customHeight="true" outlineLevel="0" collapsed="false">
      <c r="A20" s="15" t="s">
        <v>199</v>
      </c>
      <c r="B20" s="8" t="n">
        <v>46331</v>
      </c>
      <c r="C20" s="9" t="s">
        <v>776</v>
      </c>
      <c r="D20" s="9" t="str">
        <f aca="false">"https://ferreteria57.com/blog/"&amp;C20</f>
        <v>https://ferreteria57.com/blog/herramientas-esenciales-para-iniciar-negocio-de-plomeria</v>
      </c>
      <c r="E20" s="9" t="s">
        <v>777</v>
      </c>
      <c r="F20" s="7" t="n">
        <f aca="false">LEN(E20)</f>
        <v>51</v>
      </c>
      <c r="G20" s="9" t="s">
        <v>778</v>
      </c>
      <c r="H20" s="7" t="n">
        <f aca="false">LEN(G20)</f>
        <v>135</v>
      </c>
      <c r="I20" s="9" t="s">
        <v>201</v>
      </c>
      <c r="J20" s="9" t="s">
        <v>202</v>
      </c>
      <c r="K20" s="9" t="s">
        <v>779</v>
      </c>
      <c r="L20" s="9" t="s">
        <v>780</v>
      </c>
      <c r="M20" s="9" t="s">
        <v>781</v>
      </c>
      <c r="N20" s="9" t="s">
        <v>782</v>
      </c>
      <c r="O20" s="7" t="s">
        <v>683</v>
      </c>
      <c r="P20" s="9" t="s">
        <v>575</v>
      </c>
      <c r="Q20" s="9" t="s">
        <v>783</v>
      </c>
      <c r="R20" s="7" t="s">
        <v>784</v>
      </c>
      <c r="S20" s="7" t="s">
        <v>785</v>
      </c>
      <c r="T20" s="7" t="s">
        <v>579</v>
      </c>
      <c r="U20" s="9" t="s">
        <v>205</v>
      </c>
      <c r="V20" s="9" t="s">
        <v>786</v>
      </c>
      <c r="W20" s="9" t="s">
        <v>787</v>
      </c>
      <c r="X20" s="7" t="s">
        <v>582</v>
      </c>
    </row>
    <row r="21" customFormat="false" ht="120.75" hidden="false" customHeight="true" outlineLevel="0" collapsed="false">
      <c r="A21" s="15" t="s">
        <v>209</v>
      </c>
      <c r="B21" s="8" t="n">
        <v>46333</v>
      </c>
      <c r="C21" s="9" t="s">
        <v>788</v>
      </c>
      <c r="D21" s="9" t="str">
        <f aca="false">"https://ferreteria57.com/blog/"&amp;C21</f>
        <v>https://ferreteria57.com/blog/como-instalar-soporte-de-tv-en-la-pared</v>
      </c>
      <c r="E21" s="9" t="s">
        <v>789</v>
      </c>
      <c r="F21" s="7" t="n">
        <f aca="false">LEN(E21)</f>
        <v>52</v>
      </c>
      <c r="G21" s="9" t="s">
        <v>790</v>
      </c>
      <c r="H21" s="7" t="n">
        <f aca="false">LEN(G21)</f>
        <v>137</v>
      </c>
      <c r="I21" s="9" t="s">
        <v>210</v>
      </c>
      <c r="J21" s="9" t="s">
        <v>211</v>
      </c>
      <c r="K21" s="9" t="s">
        <v>791</v>
      </c>
      <c r="L21" s="9" t="s">
        <v>792</v>
      </c>
      <c r="M21" s="9" t="s">
        <v>793</v>
      </c>
      <c r="N21" s="9" t="s">
        <v>794</v>
      </c>
      <c r="O21" s="7" t="s">
        <v>696</v>
      </c>
      <c r="P21" s="9" t="s">
        <v>575</v>
      </c>
      <c r="Q21" s="9" t="s">
        <v>795</v>
      </c>
      <c r="R21" s="7" t="s">
        <v>796</v>
      </c>
      <c r="S21" s="7" t="s">
        <v>797</v>
      </c>
      <c r="T21" s="7" t="s">
        <v>43</v>
      </c>
      <c r="U21" s="9" t="s">
        <v>213</v>
      </c>
      <c r="V21" s="9" t="s">
        <v>32</v>
      </c>
      <c r="W21" s="9" t="s">
        <v>798</v>
      </c>
      <c r="X21" s="7" t="s">
        <v>582</v>
      </c>
    </row>
    <row r="22" customFormat="false" ht="95.25" hidden="false" customHeight="true" outlineLevel="0" collapsed="false">
      <c r="A22" s="15" t="s">
        <v>217</v>
      </c>
      <c r="B22" s="8" t="n">
        <v>46336</v>
      </c>
      <c r="C22" s="9" t="s">
        <v>799</v>
      </c>
      <c r="D22" s="9" t="str">
        <f aca="false">"https://ferreteria57.com/blog/"&amp;C22</f>
        <v>https://ferreteria57.com/blog/focos-led-vs-ahorradores-lumenes-watts-temperatura-color</v>
      </c>
      <c r="E22" s="9" t="s">
        <v>800</v>
      </c>
      <c r="F22" s="7" t="n">
        <f aca="false">LEN(E22)</f>
        <v>48</v>
      </c>
      <c r="G22" s="9" t="s">
        <v>801</v>
      </c>
      <c r="H22" s="7" t="n">
        <f aca="false">LEN(G22)</f>
        <v>150</v>
      </c>
      <c r="I22" s="9" t="s">
        <v>218</v>
      </c>
      <c r="J22" s="9" t="s">
        <v>219</v>
      </c>
      <c r="K22" s="9" t="s">
        <v>802</v>
      </c>
      <c r="L22" s="9" t="s">
        <v>803</v>
      </c>
      <c r="M22" s="9" t="s">
        <v>804</v>
      </c>
      <c r="N22" s="9" t="s">
        <v>805</v>
      </c>
      <c r="O22" s="7" t="s">
        <v>670</v>
      </c>
      <c r="P22" s="9" t="s">
        <v>575</v>
      </c>
      <c r="Q22" s="9" t="s">
        <v>806</v>
      </c>
      <c r="R22" s="7" t="s">
        <v>750</v>
      </c>
      <c r="S22" s="7" t="s">
        <v>807</v>
      </c>
      <c r="T22" s="7" t="s">
        <v>63</v>
      </c>
      <c r="U22" s="9" t="s">
        <v>221</v>
      </c>
      <c r="V22" s="9" t="s">
        <v>32</v>
      </c>
      <c r="W22" s="9" t="s">
        <v>808</v>
      </c>
      <c r="X22" s="7" t="s">
        <v>582</v>
      </c>
    </row>
    <row r="23" customFormat="false" ht="108" hidden="false" customHeight="true" outlineLevel="0" collapsed="false">
      <c r="A23" s="15" t="s">
        <v>226</v>
      </c>
      <c r="B23" s="8" t="n">
        <v>46338</v>
      </c>
      <c r="C23" s="9" t="s">
        <v>809</v>
      </c>
      <c r="D23" s="9" t="str">
        <f aca="false">"https://ferreteria57.com/blog/"&amp;C23</f>
        <v>https://ferreteria57.com/blog/que-hacer-en-caso-de-fuga-de-gas-en-casa</v>
      </c>
      <c r="E23" s="9" t="s">
        <v>810</v>
      </c>
      <c r="F23" s="7" t="n">
        <f aca="false">LEN(E23)</f>
        <v>44</v>
      </c>
      <c r="G23" s="9" t="s">
        <v>811</v>
      </c>
      <c r="H23" s="7" t="n">
        <f aca="false">LEN(G23)</f>
        <v>138</v>
      </c>
      <c r="I23" s="9" t="s">
        <v>227</v>
      </c>
      <c r="J23" s="9" t="s">
        <v>228</v>
      </c>
      <c r="K23" s="9" t="s">
        <v>812</v>
      </c>
      <c r="L23" s="9" t="s">
        <v>813</v>
      </c>
      <c r="M23" s="9" t="s">
        <v>814</v>
      </c>
      <c r="N23" s="9" t="s">
        <v>815</v>
      </c>
      <c r="O23" s="7" t="s">
        <v>683</v>
      </c>
      <c r="P23" s="9" t="s">
        <v>575</v>
      </c>
      <c r="Q23" s="9" t="s">
        <v>816</v>
      </c>
      <c r="R23" s="7" t="s">
        <v>817</v>
      </c>
      <c r="S23" s="7" t="s">
        <v>32</v>
      </c>
      <c r="T23" s="7" t="s">
        <v>135</v>
      </c>
      <c r="U23" s="9" t="s">
        <v>230</v>
      </c>
      <c r="V23" s="9" t="s">
        <v>818</v>
      </c>
      <c r="W23" s="9" t="s">
        <v>819</v>
      </c>
      <c r="X23" s="7" t="s">
        <v>582</v>
      </c>
    </row>
    <row r="24" customFormat="false" ht="159" hidden="false" customHeight="true" outlineLevel="0" collapsed="false">
      <c r="A24" s="15" t="s">
        <v>235</v>
      </c>
      <c r="B24" s="8" t="n">
        <v>46340</v>
      </c>
      <c r="C24" s="9" t="s">
        <v>820</v>
      </c>
      <c r="D24" s="9" t="str">
        <f aca="false">"https://ferreteria57.com/blog/"&amp;C24</f>
        <v>https://ferreteria57.com/blog/por-que-baja-la-presion-del-agua-en-la-regadera</v>
      </c>
      <c r="E24" s="9" t="s">
        <v>821</v>
      </c>
      <c r="F24" s="7" t="n">
        <f aca="false">LEN(E24)</f>
        <v>47</v>
      </c>
      <c r="G24" s="9" t="s">
        <v>822</v>
      </c>
      <c r="H24" s="7" t="n">
        <f aca="false">LEN(G24)</f>
        <v>141</v>
      </c>
      <c r="I24" s="9" t="s">
        <v>236</v>
      </c>
      <c r="J24" s="9" t="s">
        <v>237</v>
      </c>
      <c r="K24" s="9" t="s">
        <v>823</v>
      </c>
      <c r="L24" s="9" t="s">
        <v>824</v>
      </c>
      <c r="M24" s="9" t="s">
        <v>825</v>
      </c>
      <c r="N24" s="9" t="s">
        <v>826</v>
      </c>
      <c r="O24" s="7" t="s">
        <v>696</v>
      </c>
      <c r="P24" s="9" t="s">
        <v>575</v>
      </c>
      <c r="Q24" s="9" t="s">
        <v>827</v>
      </c>
      <c r="R24" s="7" t="s">
        <v>828</v>
      </c>
      <c r="S24" s="7" t="s">
        <v>32</v>
      </c>
      <c r="T24" s="7" t="s">
        <v>53</v>
      </c>
      <c r="U24" s="9" t="s">
        <v>239</v>
      </c>
      <c r="V24" s="9" t="s">
        <v>617</v>
      </c>
      <c r="W24" s="9" t="s">
        <v>829</v>
      </c>
      <c r="X24" s="7" t="s">
        <v>582</v>
      </c>
    </row>
    <row r="25" customFormat="false" ht="108" hidden="false" customHeight="true" outlineLevel="0" collapsed="false">
      <c r="A25" s="15" t="s">
        <v>244</v>
      </c>
      <c r="B25" s="8" t="n">
        <v>46343</v>
      </c>
      <c r="C25" s="9" t="s">
        <v>830</v>
      </c>
      <c r="D25" s="9" t="str">
        <f aca="false">"https://ferreteria57.com/blog/"&amp;C25</f>
        <v>https://ferreteria57.com/blog/como-calcular-cuanta-pintura-o-impermeabilizante-necesitas</v>
      </c>
      <c r="E25" s="9" t="s">
        <v>831</v>
      </c>
      <c r="F25" s="7" t="n">
        <f aca="false">LEN(E25)</f>
        <v>58</v>
      </c>
      <c r="G25" s="9" t="s">
        <v>832</v>
      </c>
      <c r="H25" s="7" t="n">
        <f aca="false">LEN(G25)</f>
        <v>136</v>
      </c>
      <c r="I25" s="9" t="s">
        <v>245</v>
      </c>
      <c r="J25" s="9" t="s">
        <v>246</v>
      </c>
      <c r="K25" s="9" t="s">
        <v>833</v>
      </c>
      <c r="L25" s="9" t="s">
        <v>834</v>
      </c>
      <c r="M25" s="9" t="s">
        <v>835</v>
      </c>
      <c r="N25" s="9" t="s">
        <v>836</v>
      </c>
      <c r="O25" s="7" t="s">
        <v>670</v>
      </c>
      <c r="P25" s="9" t="s">
        <v>575</v>
      </c>
      <c r="Q25" s="9" t="s">
        <v>837</v>
      </c>
      <c r="R25" s="7" t="s">
        <v>838</v>
      </c>
      <c r="S25" s="7" t="s">
        <v>839</v>
      </c>
      <c r="T25" s="7" t="s">
        <v>92</v>
      </c>
      <c r="U25" s="9" t="s">
        <v>248</v>
      </c>
      <c r="V25" s="9" t="s">
        <v>32</v>
      </c>
      <c r="W25" s="9" t="s">
        <v>840</v>
      </c>
      <c r="X25" s="7" t="s">
        <v>582</v>
      </c>
    </row>
    <row r="26" customFormat="false" ht="133.5" hidden="false" customHeight="true" outlineLevel="0" collapsed="false">
      <c r="A26" s="15" t="s">
        <v>252</v>
      </c>
      <c r="B26" s="8" t="n">
        <v>46345</v>
      </c>
      <c r="C26" s="9" t="s">
        <v>841</v>
      </c>
      <c r="D26" s="9" t="str">
        <f aca="false">"https://ferreteria57.com/blog/"&amp;C26</f>
        <v>https://ferreteria57.com/blog/para-que-sirve-cada-tipo-de-pinza</v>
      </c>
      <c r="E26" s="9" t="s">
        <v>842</v>
      </c>
      <c r="F26" s="7" t="n">
        <f aca="false">LEN(E26)</f>
        <v>56</v>
      </c>
      <c r="G26" s="9" t="s">
        <v>843</v>
      </c>
      <c r="H26" s="7" t="n">
        <f aca="false">LEN(G26)</f>
        <v>136</v>
      </c>
      <c r="I26" s="9" t="s">
        <v>253</v>
      </c>
      <c r="J26" s="9" t="s">
        <v>254</v>
      </c>
      <c r="K26" s="9" t="s">
        <v>844</v>
      </c>
      <c r="L26" s="9" t="s">
        <v>845</v>
      </c>
      <c r="M26" s="9" t="s">
        <v>846</v>
      </c>
      <c r="N26" s="9" t="s">
        <v>847</v>
      </c>
      <c r="O26" s="7" t="s">
        <v>683</v>
      </c>
      <c r="P26" s="9" t="s">
        <v>575</v>
      </c>
      <c r="Q26" s="9" t="s">
        <v>848</v>
      </c>
      <c r="R26" s="7" t="s">
        <v>849</v>
      </c>
      <c r="S26" s="7" t="s">
        <v>850</v>
      </c>
      <c r="T26" s="7" t="s">
        <v>34</v>
      </c>
      <c r="U26" s="9" t="s">
        <v>256</v>
      </c>
      <c r="V26" s="9" t="s">
        <v>32</v>
      </c>
      <c r="W26" s="9" t="s">
        <v>851</v>
      </c>
      <c r="X26" s="7" t="s">
        <v>582</v>
      </c>
    </row>
    <row r="27" customFormat="false" ht="146.25" hidden="false" customHeight="true" outlineLevel="0" collapsed="false">
      <c r="A27" s="15" t="s">
        <v>260</v>
      </c>
      <c r="B27" s="8" t="n">
        <v>46347</v>
      </c>
      <c r="C27" s="9" t="s">
        <v>852</v>
      </c>
      <c r="D27" s="9" t="str">
        <f aca="false">"https://ferreteria57.com/blog/"&amp;C27</f>
        <v>https://ferreteria57.com/blog/como-quitar-el-oxido-de-herramientas-candados-y-metales</v>
      </c>
      <c r="E27" s="9" t="s">
        <v>853</v>
      </c>
      <c r="F27" s="7" t="n">
        <f aca="false">LEN(E27)</f>
        <v>46</v>
      </c>
      <c r="G27" s="9" t="s">
        <v>854</v>
      </c>
      <c r="H27" s="7" t="n">
        <f aca="false">LEN(G27)</f>
        <v>137</v>
      </c>
      <c r="I27" s="9" t="s">
        <v>261</v>
      </c>
      <c r="J27" s="9" t="s">
        <v>262</v>
      </c>
      <c r="K27" s="9" t="s">
        <v>855</v>
      </c>
      <c r="L27" s="9" t="s">
        <v>856</v>
      </c>
      <c r="M27" s="9" t="s">
        <v>857</v>
      </c>
      <c r="N27" s="9" t="s">
        <v>858</v>
      </c>
      <c r="O27" s="7" t="s">
        <v>696</v>
      </c>
      <c r="P27" s="9" t="s">
        <v>575</v>
      </c>
      <c r="Q27" s="9" t="s">
        <v>859</v>
      </c>
      <c r="R27" s="7" t="s">
        <v>860</v>
      </c>
      <c r="S27" s="7" t="s">
        <v>861</v>
      </c>
      <c r="T27" s="7" t="s">
        <v>34</v>
      </c>
      <c r="U27" s="9" t="s">
        <v>264</v>
      </c>
      <c r="V27" s="9" t="s">
        <v>617</v>
      </c>
      <c r="W27" s="9" t="s">
        <v>862</v>
      </c>
      <c r="X27" s="7" t="s">
        <v>582</v>
      </c>
    </row>
    <row r="28" customFormat="false" ht="120.75" hidden="false" customHeight="true" outlineLevel="0" collapsed="false">
      <c r="A28" s="15" t="s">
        <v>268</v>
      </c>
      <c r="B28" s="8" t="n">
        <v>46350</v>
      </c>
      <c r="C28" s="9" t="s">
        <v>863</v>
      </c>
      <c r="D28" s="9" t="str">
        <f aca="false">"https://ferreteria57.com/blog/"&amp;C28</f>
        <v>https://ferreteria57.com/blog/control-de-inventarios-ferreteria-robo-hormiga-quiebres-stock</v>
      </c>
      <c r="E28" s="9" t="s">
        <v>864</v>
      </c>
      <c r="F28" s="7" t="n">
        <f aca="false">LEN(E28)</f>
        <v>56</v>
      </c>
      <c r="G28" s="9" t="s">
        <v>865</v>
      </c>
      <c r="H28" s="7" t="n">
        <f aca="false">LEN(G28)</f>
        <v>142</v>
      </c>
      <c r="I28" s="9" t="s">
        <v>269</v>
      </c>
      <c r="J28" s="9" t="s">
        <v>270</v>
      </c>
      <c r="K28" s="9" t="s">
        <v>866</v>
      </c>
      <c r="L28" s="9" t="s">
        <v>867</v>
      </c>
      <c r="M28" s="9" t="s">
        <v>868</v>
      </c>
      <c r="N28" s="9" t="s">
        <v>869</v>
      </c>
      <c r="O28" s="7" t="s">
        <v>670</v>
      </c>
      <c r="P28" s="9" t="s">
        <v>575</v>
      </c>
      <c r="Q28" s="9" t="s">
        <v>870</v>
      </c>
      <c r="R28" s="7" t="s">
        <v>871</v>
      </c>
      <c r="S28" s="7" t="s">
        <v>872</v>
      </c>
      <c r="T28" s="7" t="s">
        <v>199</v>
      </c>
      <c r="U28" s="9" t="s">
        <v>272</v>
      </c>
      <c r="V28" s="9" t="s">
        <v>873</v>
      </c>
      <c r="W28" s="9" t="s">
        <v>874</v>
      </c>
      <c r="X28" s="7" t="s">
        <v>582</v>
      </c>
    </row>
    <row r="29" customFormat="false" ht="120.75" hidden="false" customHeight="true" outlineLevel="0" collapsed="false">
      <c r="A29" s="15" t="s">
        <v>277</v>
      </c>
      <c r="B29" s="8" t="n">
        <v>46352</v>
      </c>
      <c r="C29" s="9" t="s">
        <v>875</v>
      </c>
      <c r="D29" s="9" t="str">
        <f aca="false">"https://ferreteria57.com/blog/"&amp;C29</f>
        <v>https://ferreteria57.com/blog/tipos-de-pegamentos-y-adhesivos-contacto-epoxico-cianoacrilato</v>
      </c>
      <c r="E29" s="9" t="s">
        <v>876</v>
      </c>
      <c r="F29" s="7" t="n">
        <f aca="false">LEN(E29)</f>
        <v>54</v>
      </c>
      <c r="G29" s="9" t="s">
        <v>877</v>
      </c>
      <c r="H29" s="7" t="n">
        <f aca="false">LEN(G29)</f>
        <v>134</v>
      </c>
      <c r="I29" s="9" t="s">
        <v>278</v>
      </c>
      <c r="J29" s="9" t="s">
        <v>279</v>
      </c>
      <c r="K29" s="9" t="s">
        <v>878</v>
      </c>
      <c r="L29" s="9" t="s">
        <v>879</v>
      </c>
      <c r="M29" s="9" t="s">
        <v>880</v>
      </c>
      <c r="N29" s="9" t="s">
        <v>881</v>
      </c>
      <c r="O29" s="7" t="s">
        <v>683</v>
      </c>
      <c r="P29" s="9" t="s">
        <v>575</v>
      </c>
      <c r="Q29" s="9" t="s">
        <v>882</v>
      </c>
      <c r="R29" s="7" t="s">
        <v>883</v>
      </c>
      <c r="S29" s="7" t="s">
        <v>884</v>
      </c>
      <c r="T29" s="7" t="s">
        <v>43</v>
      </c>
      <c r="U29" s="9" t="s">
        <v>281</v>
      </c>
      <c r="V29" s="9" t="s">
        <v>32</v>
      </c>
      <c r="W29" s="9" t="s">
        <v>885</v>
      </c>
      <c r="X29" s="7" t="s">
        <v>582</v>
      </c>
    </row>
    <row r="30" customFormat="false" ht="146.25" hidden="false" customHeight="true" outlineLevel="0" collapsed="false">
      <c r="A30" s="15" t="s">
        <v>286</v>
      </c>
      <c r="B30" s="8" t="n">
        <v>46354</v>
      </c>
      <c r="C30" s="9" t="s">
        <v>886</v>
      </c>
      <c r="D30" s="9" t="str">
        <f aca="false">"https://ferreteria57.com/blog/"&amp;C30</f>
        <v>https://ferreteria57.com/blog/como-cambiar-sapo-valvula-herrajes-tanque-escusado</v>
      </c>
      <c r="E30" s="9" t="s">
        <v>887</v>
      </c>
      <c r="F30" s="7" t="n">
        <f aca="false">LEN(E30)</f>
        <v>55</v>
      </c>
      <c r="G30" s="9" t="s">
        <v>888</v>
      </c>
      <c r="H30" s="7" t="n">
        <f aca="false">LEN(G30)</f>
        <v>141</v>
      </c>
      <c r="I30" s="9" t="s">
        <v>287</v>
      </c>
      <c r="J30" s="9" t="s">
        <v>288</v>
      </c>
      <c r="K30" s="9" t="s">
        <v>889</v>
      </c>
      <c r="L30" s="9" t="s">
        <v>890</v>
      </c>
      <c r="M30" s="9" t="s">
        <v>891</v>
      </c>
      <c r="N30" s="9" t="s">
        <v>892</v>
      </c>
      <c r="O30" s="7" t="s">
        <v>696</v>
      </c>
      <c r="P30" s="9" t="s">
        <v>575</v>
      </c>
      <c r="Q30" s="9" t="s">
        <v>893</v>
      </c>
      <c r="R30" s="7" t="s">
        <v>894</v>
      </c>
      <c r="S30" s="7" t="s">
        <v>895</v>
      </c>
      <c r="T30" s="7" t="s">
        <v>53</v>
      </c>
      <c r="U30" s="9" t="s">
        <v>290</v>
      </c>
      <c r="V30" s="9" t="s">
        <v>32</v>
      </c>
      <c r="W30" s="9" t="s">
        <v>896</v>
      </c>
      <c r="X30" s="7" t="s">
        <v>582</v>
      </c>
    </row>
    <row r="31" customFormat="false" ht="120.75" hidden="false" customHeight="true" outlineLevel="0" collapsed="false">
      <c r="A31" s="15" t="s">
        <v>295</v>
      </c>
      <c r="B31" s="8" t="n">
        <v>46357</v>
      </c>
      <c r="C31" s="9" t="s">
        <v>897</v>
      </c>
      <c r="D31" s="9" t="str">
        <f aca="false">"https://ferreteria57.com/blog/"&amp;C31</f>
        <v>https://ferreteria57.com/blog/diferencias-silicon-sellador-acrilico-poliuretano</v>
      </c>
      <c r="E31" s="9" t="s">
        <v>898</v>
      </c>
      <c r="F31" s="7" t="n">
        <f aca="false">LEN(E31)</f>
        <v>53</v>
      </c>
      <c r="G31" s="9" t="s">
        <v>899</v>
      </c>
      <c r="H31" s="7" t="n">
        <f aca="false">LEN(G31)</f>
        <v>135</v>
      </c>
      <c r="I31" s="9" t="s">
        <v>297</v>
      </c>
      <c r="J31" s="9" t="s">
        <v>298</v>
      </c>
      <c r="K31" s="9" t="s">
        <v>900</v>
      </c>
      <c r="L31" s="9" t="s">
        <v>901</v>
      </c>
      <c r="M31" s="9" t="s">
        <v>902</v>
      </c>
      <c r="N31" s="9" t="s">
        <v>903</v>
      </c>
      <c r="O31" s="7" t="s">
        <v>670</v>
      </c>
      <c r="P31" s="9" t="s">
        <v>575</v>
      </c>
      <c r="Q31" s="9" t="s">
        <v>904</v>
      </c>
      <c r="R31" s="7" t="s">
        <v>905</v>
      </c>
      <c r="S31" s="7" t="s">
        <v>906</v>
      </c>
      <c r="T31" s="7" t="s">
        <v>92</v>
      </c>
      <c r="U31" s="9" t="s">
        <v>300</v>
      </c>
      <c r="V31" s="9" t="s">
        <v>907</v>
      </c>
      <c r="W31" s="9" t="s">
        <v>908</v>
      </c>
      <c r="X31" s="7" t="s">
        <v>582</v>
      </c>
    </row>
    <row r="32" customFormat="false" ht="108" hidden="false" customHeight="true" outlineLevel="0" collapsed="false">
      <c r="A32" s="15" t="s">
        <v>305</v>
      </c>
      <c r="B32" s="8" t="n">
        <v>46359</v>
      </c>
      <c r="C32" s="9" t="s">
        <v>909</v>
      </c>
      <c r="D32" s="9" t="str">
        <f aca="false">"https://ferreteria57.com/blog/"&amp;C32</f>
        <v>https://ferreteria57.com/blog/guia-de-espatulas-cunas-y-llanas-acabados-construccion</v>
      </c>
      <c r="E32" s="9" t="s">
        <v>910</v>
      </c>
      <c r="F32" s="7" t="n">
        <f aca="false">LEN(E32)</f>
        <v>55</v>
      </c>
      <c r="G32" s="9" t="s">
        <v>911</v>
      </c>
      <c r="H32" s="7" t="n">
        <f aca="false">LEN(G32)</f>
        <v>134</v>
      </c>
      <c r="I32" s="9" t="s">
        <v>306</v>
      </c>
      <c r="J32" s="9" t="s">
        <v>307</v>
      </c>
      <c r="K32" s="9" t="s">
        <v>912</v>
      </c>
      <c r="L32" s="9" t="s">
        <v>913</v>
      </c>
      <c r="M32" s="9" t="s">
        <v>914</v>
      </c>
      <c r="N32" s="9" t="s">
        <v>915</v>
      </c>
      <c r="O32" s="7" t="s">
        <v>683</v>
      </c>
      <c r="P32" s="9" t="s">
        <v>575</v>
      </c>
      <c r="Q32" s="9" t="s">
        <v>916</v>
      </c>
      <c r="R32" s="7" t="s">
        <v>917</v>
      </c>
      <c r="S32" s="7" t="s">
        <v>918</v>
      </c>
      <c r="T32" s="7" t="s">
        <v>199</v>
      </c>
      <c r="U32" s="9" t="s">
        <v>309</v>
      </c>
      <c r="V32" s="9" t="s">
        <v>32</v>
      </c>
      <c r="W32" s="9" t="s">
        <v>919</v>
      </c>
      <c r="X32" s="7" t="s">
        <v>582</v>
      </c>
    </row>
    <row r="33" customFormat="false" ht="120.75" hidden="false" customHeight="true" outlineLevel="0" collapsed="false">
      <c r="A33" s="15" t="s">
        <v>313</v>
      </c>
      <c r="B33" s="8" t="n">
        <v>46361</v>
      </c>
      <c r="C33" s="9" t="s">
        <v>920</v>
      </c>
      <c r="D33" s="9" t="str">
        <f aca="false">"https://ferreteria57.com/blog/"&amp;C33</f>
        <v>https://ferreteria57.com/blog/como-reparar-fuga-llave-mezcladora-lavabo-fregadero</v>
      </c>
      <c r="E33" s="9" t="s">
        <v>921</v>
      </c>
      <c r="F33" s="7" t="n">
        <f aca="false">LEN(E33)</f>
        <v>44</v>
      </c>
      <c r="G33" s="9" t="s">
        <v>922</v>
      </c>
      <c r="H33" s="7" t="n">
        <f aca="false">LEN(G33)</f>
        <v>139</v>
      </c>
      <c r="I33" s="9" t="s">
        <v>314</v>
      </c>
      <c r="J33" s="9" t="s">
        <v>315</v>
      </c>
      <c r="K33" s="9" t="s">
        <v>923</v>
      </c>
      <c r="L33" s="9" t="s">
        <v>924</v>
      </c>
      <c r="M33" s="9" t="s">
        <v>925</v>
      </c>
      <c r="N33" s="9" t="s">
        <v>926</v>
      </c>
      <c r="O33" s="7" t="s">
        <v>696</v>
      </c>
      <c r="P33" s="9" t="s">
        <v>575</v>
      </c>
      <c r="Q33" s="9" t="s">
        <v>927</v>
      </c>
      <c r="R33" s="7" t="s">
        <v>928</v>
      </c>
      <c r="S33" s="7" t="s">
        <v>32</v>
      </c>
      <c r="T33" s="7" t="s">
        <v>53</v>
      </c>
      <c r="U33" s="9" t="s">
        <v>317</v>
      </c>
      <c r="V33" s="9" t="s">
        <v>32</v>
      </c>
      <c r="W33" s="9" t="s">
        <v>929</v>
      </c>
      <c r="X33" s="7" t="s">
        <v>582</v>
      </c>
    </row>
    <row r="34" customFormat="false" ht="120.75" hidden="false" customHeight="true" outlineLevel="0" collapsed="false">
      <c r="A34" s="15" t="s">
        <v>321</v>
      </c>
      <c r="B34" s="8" t="n">
        <v>46364</v>
      </c>
      <c r="C34" s="9" t="s">
        <v>930</v>
      </c>
      <c r="D34" s="9" t="str">
        <f aca="false">"https://ferreteria57.com/blog/"&amp;C34</f>
        <v>https://ferreteria57.com/blog/merchandising-ferretero-exhibicion-aumentar-ventas-mostrador</v>
      </c>
      <c r="E34" s="9" t="s">
        <v>931</v>
      </c>
      <c r="F34" s="7" t="n">
        <f aca="false">LEN(E34)</f>
        <v>50</v>
      </c>
      <c r="G34" s="9" t="s">
        <v>932</v>
      </c>
      <c r="H34" s="7" t="n">
        <f aca="false">LEN(G34)</f>
        <v>141</v>
      </c>
      <c r="I34" s="9" t="s">
        <v>322</v>
      </c>
      <c r="J34" s="9" t="s">
        <v>323</v>
      </c>
      <c r="K34" s="9" t="s">
        <v>933</v>
      </c>
      <c r="L34" s="9" t="s">
        <v>934</v>
      </c>
      <c r="M34" s="9" t="s">
        <v>935</v>
      </c>
      <c r="N34" s="9" t="s">
        <v>936</v>
      </c>
      <c r="O34" s="7" t="s">
        <v>670</v>
      </c>
      <c r="P34" s="9" t="s">
        <v>575</v>
      </c>
      <c r="Q34" s="9" t="s">
        <v>937</v>
      </c>
      <c r="R34" s="7" t="s">
        <v>938</v>
      </c>
      <c r="S34" s="7" t="s">
        <v>939</v>
      </c>
      <c r="T34" s="7" t="s">
        <v>199</v>
      </c>
      <c r="U34" s="9" t="s">
        <v>325</v>
      </c>
      <c r="V34" s="9" t="s">
        <v>32</v>
      </c>
      <c r="W34" s="9" t="s">
        <v>940</v>
      </c>
      <c r="X34" s="7" t="s">
        <v>582</v>
      </c>
    </row>
    <row r="35" customFormat="false" ht="184.5" hidden="false" customHeight="true" outlineLevel="0" collapsed="false">
      <c r="A35" s="15" t="s">
        <v>330</v>
      </c>
      <c r="B35" s="8" t="n">
        <v>46366</v>
      </c>
      <c r="C35" s="9" t="s">
        <v>941</v>
      </c>
      <c r="D35" s="9" t="str">
        <f aca="false">"https://ferreteria57.com/blog/"&amp;C35</f>
        <v>https://ferreteria57.com/blog/guia-de-guantes-de-trabajo-nitrilo-carnaza-latex-anticorte</v>
      </c>
      <c r="E35" s="9" t="s">
        <v>942</v>
      </c>
      <c r="F35" s="7" t="n">
        <f aca="false">LEN(E35)</f>
        <v>55</v>
      </c>
      <c r="G35" s="9" t="s">
        <v>943</v>
      </c>
      <c r="H35" s="7" t="n">
        <f aca="false">LEN(G35)</f>
        <v>133</v>
      </c>
      <c r="I35" s="9" t="s">
        <v>331</v>
      </c>
      <c r="J35" s="9" t="s">
        <v>332</v>
      </c>
      <c r="K35" s="9" t="s">
        <v>944</v>
      </c>
      <c r="L35" s="9" t="s">
        <v>945</v>
      </c>
      <c r="M35" s="9" t="s">
        <v>946</v>
      </c>
      <c r="N35" s="9" t="s">
        <v>947</v>
      </c>
      <c r="O35" s="7" t="s">
        <v>683</v>
      </c>
      <c r="P35" s="9" t="s">
        <v>575</v>
      </c>
      <c r="Q35" s="9" t="s">
        <v>948</v>
      </c>
      <c r="R35" s="7" t="s">
        <v>949</v>
      </c>
      <c r="S35" s="7" t="s">
        <v>950</v>
      </c>
      <c r="T35" s="7" t="s">
        <v>135</v>
      </c>
      <c r="U35" s="9" t="s">
        <v>334</v>
      </c>
      <c r="V35" s="9" t="s">
        <v>951</v>
      </c>
      <c r="W35" s="9" t="s">
        <v>952</v>
      </c>
      <c r="X35" s="7" t="s">
        <v>582</v>
      </c>
    </row>
    <row r="36" customFormat="false" ht="108" hidden="false" customHeight="true" outlineLevel="0" collapsed="false">
      <c r="A36" s="15" t="s">
        <v>339</v>
      </c>
      <c r="B36" s="8" t="n">
        <v>46368</v>
      </c>
      <c r="C36" s="9" t="s">
        <v>953</v>
      </c>
      <c r="D36" s="9" t="str">
        <f aca="false">"https://ferreteria57.com/blog/"&amp;C36</f>
        <v>https://ferreteria57.com/blog/herramientas-basicas-cajuela-auto-emergencias</v>
      </c>
      <c r="E36" s="9" t="s">
        <v>954</v>
      </c>
      <c r="F36" s="7" t="n">
        <f aca="false">LEN(E36)</f>
        <v>52</v>
      </c>
      <c r="G36" s="9" t="s">
        <v>955</v>
      </c>
      <c r="H36" s="7" t="n">
        <f aca="false">LEN(G36)</f>
        <v>134</v>
      </c>
      <c r="I36" s="9" t="s">
        <v>340</v>
      </c>
      <c r="J36" s="9" t="s">
        <v>341</v>
      </c>
      <c r="K36" s="9" t="s">
        <v>956</v>
      </c>
      <c r="L36" s="9" t="s">
        <v>957</v>
      </c>
      <c r="M36" s="9" t="s">
        <v>958</v>
      </c>
      <c r="N36" s="9" t="s">
        <v>959</v>
      </c>
      <c r="O36" s="7" t="s">
        <v>696</v>
      </c>
      <c r="P36" s="9" t="s">
        <v>575</v>
      </c>
      <c r="Q36" s="9" t="s">
        <v>960</v>
      </c>
      <c r="R36" s="7" t="s">
        <v>961</v>
      </c>
      <c r="S36" s="7" t="s">
        <v>962</v>
      </c>
      <c r="T36" s="7" t="s">
        <v>34</v>
      </c>
      <c r="U36" s="9" t="s">
        <v>343</v>
      </c>
      <c r="V36" s="9" t="s">
        <v>963</v>
      </c>
      <c r="W36" s="9" t="s">
        <v>964</v>
      </c>
      <c r="X36" s="7" t="s">
        <v>582</v>
      </c>
    </row>
    <row r="37" customFormat="false" ht="120.75" hidden="false" customHeight="true" outlineLevel="0" collapsed="false">
      <c r="A37" s="15" t="s">
        <v>347</v>
      </c>
      <c r="B37" s="8" t="n">
        <v>46371</v>
      </c>
      <c r="C37" s="9" t="s">
        <v>965</v>
      </c>
      <c r="D37" s="9" t="str">
        <f aca="false">"https://ferreteria57.com/blog/"&amp;C37</f>
        <v>https://ferreteria57.com/blog/chapa-sobreponer-embutir-o-alta-seguridad-cual-elegir</v>
      </c>
      <c r="E37" s="9" t="s">
        <v>966</v>
      </c>
      <c r="F37" s="7" t="n">
        <f aca="false">LEN(E37)</f>
        <v>58</v>
      </c>
      <c r="G37" s="9" t="s">
        <v>967</v>
      </c>
      <c r="H37" s="7" t="n">
        <f aca="false">LEN(G37)</f>
        <v>142</v>
      </c>
      <c r="I37" s="9" t="s">
        <v>348</v>
      </c>
      <c r="J37" s="9" t="s">
        <v>349</v>
      </c>
      <c r="K37" s="9" t="s">
        <v>968</v>
      </c>
      <c r="L37" s="9" t="s">
        <v>969</v>
      </c>
      <c r="M37" s="9" t="s">
        <v>970</v>
      </c>
      <c r="N37" s="9" t="s">
        <v>971</v>
      </c>
      <c r="O37" s="7" t="s">
        <v>670</v>
      </c>
      <c r="P37" s="9" t="s">
        <v>575</v>
      </c>
      <c r="Q37" s="9" t="s">
        <v>972</v>
      </c>
      <c r="R37" s="7" t="s">
        <v>973</v>
      </c>
      <c r="S37" s="7" t="s">
        <v>974</v>
      </c>
      <c r="T37" s="7" t="s">
        <v>135</v>
      </c>
      <c r="U37" s="9" t="s">
        <v>351</v>
      </c>
      <c r="V37" s="9" t="s">
        <v>32</v>
      </c>
      <c r="W37" s="9" t="s">
        <v>975</v>
      </c>
      <c r="X37" s="7" t="s">
        <v>582</v>
      </c>
    </row>
    <row r="38" customFormat="false" ht="95.25" hidden="false" customHeight="true" outlineLevel="0" collapsed="false">
      <c r="A38" s="15" t="s">
        <v>356</v>
      </c>
      <c r="B38" s="8" t="n">
        <v>46373</v>
      </c>
      <c r="C38" s="9" t="s">
        <v>976</v>
      </c>
      <c r="D38" s="9" t="str">
        <f aca="false">"https://ferreteria57.com/blog/"&amp;C38</f>
        <v>https://ferreteria57.com/blog/remachadoras-manuales-y-como-elegir-la-medida-de-remaches</v>
      </c>
      <c r="E38" s="9" t="s">
        <v>977</v>
      </c>
      <c r="F38" s="7" t="n">
        <f aca="false">LEN(E38)</f>
        <v>52</v>
      </c>
      <c r="G38" s="9" t="s">
        <v>978</v>
      </c>
      <c r="H38" s="7" t="n">
        <f aca="false">LEN(G38)</f>
        <v>140</v>
      </c>
      <c r="I38" s="9" t="s">
        <v>357</v>
      </c>
      <c r="J38" s="9" t="s">
        <v>358</v>
      </c>
      <c r="K38" s="9" t="s">
        <v>979</v>
      </c>
      <c r="L38" s="9" t="s">
        <v>980</v>
      </c>
      <c r="M38" s="9" t="s">
        <v>981</v>
      </c>
      <c r="N38" s="9" t="s">
        <v>982</v>
      </c>
      <c r="O38" s="7" t="s">
        <v>683</v>
      </c>
      <c r="P38" s="9" t="s">
        <v>575</v>
      </c>
      <c r="Q38" s="9" t="s">
        <v>983</v>
      </c>
      <c r="R38" s="7" t="s">
        <v>984</v>
      </c>
      <c r="S38" s="7" t="s">
        <v>985</v>
      </c>
      <c r="T38" s="7" t="s">
        <v>199</v>
      </c>
      <c r="U38" s="9" t="s">
        <v>360</v>
      </c>
      <c r="V38" s="9" t="s">
        <v>32</v>
      </c>
      <c r="W38" s="9" t="s">
        <v>986</v>
      </c>
      <c r="X38" s="7" t="s">
        <v>582</v>
      </c>
    </row>
    <row r="39" customFormat="false" ht="146.25" hidden="false" customHeight="true" outlineLevel="0" collapsed="false">
      <c r="A39" s="15" t="s">
        <v>365</v>
      </c>
      <c r="B39" s="8" t="n">
        <v>46375</v>
      </c>
      <c r="C39" s="9" t="s">
        <v>987</v>
      </c>
      <c r="D39" s="9" t="str">
        <f aca="false">"https://ferreteria57.com/blog/"&amp;C39</f>
        <v>https://ferreteria57.com/blog/como-cambiar-pastilla-termomagnetica-centro-de-carga</v>
      </c>
      <c r="E39" s="9" t="s">
        <v>988</v>
      </c>
      <c r="F39" s="7" t="n">
        <f aca="false">LEN(E39)</f>
        <v>54</v>
      </c>
      <c r="G39" s="9" t="s">
        <v>989</v>
      </c>
      <c r="H39" s="7" t="n">
        <f aca="false">LEN(G39)</f>
        <v>132</v>
      </c>
      <c r="I39" s="9" t="s">
        <v>366</v>
      </c>
      <c r="J39" s="9" t="s">
        <v>367</v>
      </c>
      <c r="K39" s="9" t="s">
        <v>990</v>
      </c>
      <c r="L39" s="9" t="s">
        <v>991</v>
      </c>
      <c r="M39" s="9" t="s">
        <v>992</v>
      </c>
      <c r="N39" s="9" t="s">
        <v>993</v>
      </c>
      <c r="O39" s="7" t="s">
        <v>696</v>
      </c>
      <c r="P39" s="9" t="s">
        <v>575</v>
      </c>
      <c r="Q39" s="9" t="s">
        <v>994</v>
      </c>
      <c r="R39" s="7" t="s">
        <v>995</v>
      </c>
      <c r="S39" s="7" t="s">
        <v>996</v>
      </c>
      <c r="T39" s="7" t="s">
        <v>63</v>
      </c>
      <c r="U39" s="9" t="s">
        <v>369</v>
      </c>
      <c r="V39" s="9" t="s">
        <v>32</v>
      </c>
      <c r="W39" s="9" t="s">
        <v>997</v>
      </c>
      <c r="X39" s="7" t="s">
        <v>582</v>
      </c>
    </row>
    <row r="40" customFormat="false" ht="95.25" hidden="false" customHeight="true" outlineLevel="0" collapsed="false">
      <c r="A40" s="15" t="s">
        <v>373</v>
      </c>
      <c r="B40" s="8" t="n">
        <v>46378</v>
      </c>
      <c r="C40" s="9" t="s">
        <v>998</v>
      </c>
      <c r="D40" s="9" t="str">
        <f aca="false">"https://ferreteria57.com/blog/"&amp;C40</f>
        <v>https://ferreteria57.com/blog/que-significan-cedula-40-80-y-numeros-en-tubos-pvc</v>
      </c>
      <c r="E40" s="9" t="s">
        <v>999</v>
      </c>
      <c r="F40" s="7" t="n">
        <f aca="false">LEN(E40)</f>
        <v>54</v>
      </c>
      <c r="G40" s="9" t="s">
        <v>1000</v>
      </c>
      <c r="H40" s="7" t="n">
        <f aca="false">LEN(G40)</f>
        <v>133</v>
      </c>
      <c r="I40" s="9" t="s">
        <v>374</v>
      </c>
      <c r="J40" s="9" t="s">
        <v>375</v>
      </c>
      <c r="K40" s="9" t="s">
        <v>1001</v>
      </c>
      <c r="L40" s="9" t="s">
        <v>1002</v>
      </c>
      <c r="M40" s="9" t="s">
        <v>1003</v>
      </c>
      <c r="N40" s="9" t="s">
        <v>1004</v>
      </c>
      <c r="O40" s="7" t="s">
        <v>670</v>
      </c>
      <c r="P40" s="9" t="s">
        <v>575</v>
      </c>
      <c r="Q40" s="9" t="s">
        <v>1005</v>
      </c>
      <c r="R40" s="7" t="s">
        <v>1006</v>
      </c>
      <c r="S40" s="7" t="s">
        <v>32</v>
      </c>
      <c r="T40" s="7" t="s">
        <v>53</v>
      </c>
      <c r="U40" s="9" t="s">
        <v>377</v>
      </c>
      <c r="V40" s="9" t="s">
        <v>32</v>
      </c>
      <c r="W40" s="9" t="s">
        <v>1007</v>
      </c>
      <c r="X40" s="7" t="s">
        <v>582</v>
      </c>
    </row>
    <row r="41" customFormat="false" ht="108" hidden="false" customHeight="true" outlineLevel="0" collapsed="false">
      <c r="A41" s="15" t="s">
        <v>382</v>
      </c>
      <c r="B41" s="8" t="n">
        <v>46380</v>
      </c>
      <c r="C41" s="9" t="s">
        <v>1008</v>
      </c>
      <c r="D41" s="9" t="str">
        <f aca="false">"https://ferreteria57.com/blog/"&amp;C41</f>
        <v>https://ferreteria57.com/blog/ventajas-de-comprar-en-ferreteria-de-barrio</v>
      </c>
      <c r="E41" s="9" t="s">
        <v>1009</v>
      </c>
      <c r="F41" s="7" t="n">
        <f aca="false">LEN(E41)</f>
        <v>49</v>
      </c>
      <c r="G41" s="9" t="s">
        <v>1010</v>
      </c>
      <c r="H41" s="7" t="n">
        <f aca="false">LEN(G41)</f>
        <v>144</v>
      </c>
      <c r="I41" s="9" t="s">
        <v>383</v>
      </c>
      <c r="J41" s="9" t="s">
        <v>384</v>
      </c>
      <c r="K41" s="9" t="s">
        <v>1011</v>
      </c>
      <c r="L41" s="9" t="s">
        <v>1012</v>
      </c>
      <c r="M41" s="9" t="s">
        <v>1013</v>
      </c>
      <c r="N41" s="9" t="s">
        <v>1014</v>
      </c>
      <c r="O41" s="7" t="s">
        <v>683</v>
      </c>
      <c r="P41" s="9" t="s">
        <v>575</v>
      </c>
      <c r="Q41" s="9" t="s">
        <v>1015</v>
      </c>
      <c r="R41" s="7" t="s">
        <v>1016</v>
      </c>
      <c r="S41" s="7" t="s">
        <v>32</v>
      </c>
      <c r="T41" s="7" t="s">
        <v>18</v>
      </c>
      <c r="U41" s="9" t="s">
        <v>386</v>
      </c>
      <c r="V41" s="9" t="s">
        <v>1017</v>
      </c>
      <c r="W41" s="9" t="s">
        <v>1018</v>
      </c>
      <c r="X41" s="7" t="s">
        <v>582</v>
      </c>
    </row>
    <row r="42" customFormat="false" ht="120.75" hidden="false" customHeight="true" outlineLevel="0" collapsed="false">
      <c r="A42" s="15" t="s">
        <v>390</v>
      </c>
      <c r="B42" s="8" t="n">
        <v>46382</v>
      </c>
      <c r="C42" s="9" t="s">
        <v>1019</v>
      </c>
      <c r="D42" s="9" t="str">
        <f aca="false">"https://ferreteria57.com/blog/"&amp;C42</f>
        <v>https://ferreteria57.com/blog/como-limpiar-y-guardar-brochas-y-rodillos</v>
      </c>
      <c r="E42" s="9" t="s">
        <v>1020</v>
      </c>
      <c r="F42" s="7" t="n">
        <f aca="false">LEN(E42)</f>
        <v>56</v>
      </c>
      <c r="G42" s="9" t="s">
        <v>1021</v>
      </c>
      <c r="H42" s="7" t="n">
        <f aca="false">LEN(G42)</f>
        <v>136</v>
      </c>
      <c r="I42" s="9" t="s">
        <v>391</v>
      </c>
      <c r="J42" s="9" t="s">
        <v>392</v>
      </c>
      <c r="K42" s="9" t="s">
        <v>1022</v>
      </c>
      <c r="L42" s="9" t="s">
        <v>1023</v>
      </c>
      <c r="M42" s="9" t="s">
        <v>1024</v>
      </c>
      <c r="N42" s="9" t="s">
        <v>1025</v>
      </c>
      <c r="O42" s="7" t="s">
        <v>696</v>
      </c>
      <c r="P42" s="9" t="s">
        <v>575</v>
      </c>
      <c r="Q42" s="9" t="s">
        <v>1026</v>
      </c>
      <c r="R42" s="7" t="s">
        <v>1027</v>
      </c>
      <c r="S42" s="7" t="s">
        <v>32</v>
      </c>
      <c r="T42" s="7" t="s">
        <v>92</v>
      </c>
      <c r="U42" s="9" t="s">
        <v>394</v>
      </c>
      <c r="V42" s="9" t="s">
        <v>32</v>
      </c>
      <c r="W42" s="9" t="s">
        <v>1028</v>
      </c>
      <c r="X42" s="7" t="s">
        <v>582</v>
      </c>
    </row>
    <row r="43" customFormat="false" ht="133.5" hidden="false" customHeight="true" outlineLevel="0" collapsed="false">
      <c r="A43" s="15" t="s">
        <v>399</v>
      </c>
      <c r="B43" s="8" t="n">
        <v>46385</v>
      </c>
      <c r="C43" s="9" t="s">
        <v>1029</v>
      </c>
      <c r="D43" s="9" t="str">
        <f aca="false">"https://ferreteria57.com/blog/"&amp;C43</f>
        <v>https://ferreteria57.com/blog/tornilleria-acero-inoxidable-grados-y-cuando-usarla</v>
      </c>
      <c r="E43" s="9" t="s">
        <v>1030</v>
      </c>
      <c r="F43" s="7" t="n">
        <f aca="false">LEN(E43)</f>
        <v>55</v>
      </c>
      <c r="G43" s="9" t="s">
        <v>1031</v>
      </c>
      <c r="H43" s="7" t="n">
        <f aca="false">LEN(G43)</f>
        <v>131</v>
      </c>
      <c r="I43" s="9" t="s">
        <v>400</v>
      </c>
      <c r="J43" s="9" t="s">
        <v>401</v>
      </c>
      <c r="K43" s="9" t="s">
        <v>1032</v>
      </c>
      <c r="L43" s="9" t="s">
        <v>1033</v>
      </c>
      <c r="M43" s="9" t="s">
        <v>1034</v>
      </c>
      <c r="N43" s="9" t="s">
        <v>1035</v>
      </c>
      <c r="O43" s="7" t="s">
        <v>670</v>
      </c>
      <c r="P43" s="9" t="s">
        <v>575</v>
      </c>
      <c r="Q43" s="9" t="s">
        <v>1036</v>
      </c>
      <c r="R43" s="7" t="s">
        <v>1037</v>
      </c>
      <c r="S43" s="7" t="s">
        <v>1038</v>
      </c>
      <c r="T43" s="7" t="s">
        <v>43</v>
      </c>
      <c r="U43" s="9" t="s">
        <v>403</v>
      </c>
      <c r="V43" s="9" t="s">
        <v>32</v>
      </c>
      <c r="W43" s="9" t="s">
        <v>1039</v>
      </c>
      <c r="X43" s="7" t="s">
        <v>582</v>
      </c>
    </row>
    <row r="44" customFormat="false" ht="120.75" hidden="false" customHeight="true" outlineLevel="0" collapsed="false">
      <c r="A44" s="15" t="s">
        <v>408</v>
      </c>
      <c r="B44" s="8" t="n">
        <v>46387</v>
      </c>
      <c r="C44" s="9" t="s">
        <v>1040</v>
      </c>
      <c r="D44" s="9" t="str">
        <f aca="false">"https://ferreteria57.com/blog/"&amp;C44</f>
        <v>https://ferreteria57.com/blog/silicones-automotrices-alta-temperatura-vs-selladores-construccion</v>
      </c>
      <c r="E44" s="9" t="s">
        <v>1041</v>
      </c>
      <c r="F44" s="7" t="n">
        <f aca="false">LEN(E44)</f>
        <v>46</v>
      </c>
      <c r="G44" s="9" t="s">
        <v>1042</v>
      </c>
      <c r="H44" s="7" t="n">
        <f aca="false">LEN(G44)</f>
        <v>143</v>
      </c>
      <c r="I44" s="9" t="s">
        <v>409</v>
      </c>
      <c r="J44" s="9" t="s">
        <v>410</v>
      </c>
      <c r="K44" s="9" t="s">
        <v>1043</v>
      </c>
      <c r="L44" s="9" t="s">
        <v>1044</v>
      </c>
      <c r="M44" s="9" t="s">
        <v>1045</v>
      </c>
      <c r="N44" s="9" t="s">
        <v>1046</v>
      </c>
      <c r="O44" s="7" t="s">
        <v>683</v>
      </c>
      <c r="P44" s="9" t="s">
        <v>575</v>
      </c>
      <c r="Q44" s="9" t="s">
        <v>1047</v>
      </c>
      <c r="R44" s="7" t="s">
        <v>1048</v>
      </c>
      <c r="S44" s="7" t="s">
        <v>32</v>
      </c>
      <c r="T44" s="7" t="s">
        <v>92</v>
      </c>
      <c r="U44" s="9" t="s">
        <v>412</v>
      </c>
      <c r="V44" s="9" t="s">
        <v>32</v>
      </c>
      <c r="W44" s="9" t="s">
        <v>1049</v>
      </c>
      <c r="X44" s="7" t="s">
        <v>582</v>
      </c>
    </row>
    <row r="45" customFormat="false" ht="120.75" hidden="false" customHeight="true" outlineLevel="0" collapsed="false">
      <c r="A45" s="15" t="s">
        <v>417</v>
      </c>
      <c r="B45" s="8" t="n">
        <v>46389</v>
      </c>
      <c r="C45" s="9" t="s">
        <v>1050</v>
      </c>
      <c r="D45" s="9" t="str">
        <f aca="false">"https://ferreteria57.com/blog/"&amp;C45</f>
        <v>https://ferreteria57.com/blog/como-organizar-tablero-de-herramientas-taller-garaje</v>
      </c>
      <c r="E45" s="9" t="s">
        <v>1051</v>
      </c>
      <c r="F45" s="7" t="n">
        <f aca="false">LEN(E45)</f>
        <v>52</v>
      </c>
      <c r="G45" s="9" t="s">
        <v>1052</v>
      </c>
      <c r="H45" s="7" t="n">
        <f aca="false">LEN(G45)</f>
        <v>137</v>
      </c>
      <c r="I45" s="9" t="s">
        <v>419</v>
      </c>
      <c r="J45" s="9" t="s">
        <v>420</v>
      </c>
      <c r="K45" s="9" t="s">
        <v>1053</v>
      </c>
      <c r="L45" s="9" t="s">
        <v>1054</v>
      </c>
      <c r="M45" s="9" t="s">
        <v>1055</v>
      </c>
      <c r="N45" s="9" t="s">
        <v>1056</v>
      </c>
      <c r="O45" s="7" t="s">
        <v>696</v>
      </c>
      <c r="P45" s="9" t="s">
        <v>575</v>
      </c>
      <c r="Q45" s="9" t="s">
        <v>1057</v>
      </c>
      <c r="R45" s="7" t="s">
        <v>1058</v>
      </c>
      <c r="S45" s="7" t="s">
        <v>32</v>
      </c>
      <c r="T45" s="7" t="s">
        <v>34</v>
      </c>
      <c r="U45" s="9" t="s">
        <v>422</v>
      </c>
      <c r="V45" s="9" t="s">
        <v>32</v>
      </c>
      <c r="W45" s="9" t="s">
        <v>1059</v>
      </c>
      <c r="X45" s="7" t="s">
        <v>582</v>
      </c>
    </row>
    <row r="46" customFormat="false" ht="108" hidden="false" customHeight="true" outlineLevel="0" collapsed="false">
      <c r="A46" s="15" t="s">
        <v>426</v>
      </c>
      <c r="B46" s="8" t="n">
        <v>46392</v>
      </c>
      <c r="C46" s="9" t="s">
        <v>1060</v>
      </c>
      <c r="D46" s="9" t="str">
        <f aca="false">"https://ferreteria57.com/blog/"&amp;C46</f>
        <v>https://ferreteria57.com/blog/guia-epp-equipo-de-proteccion-personal-obra</v>
      </c>
      <c r="E46" s="9" t="s">
        <v>1061</v>
      </c>
      <c r="F46" s="7" t="n">
        <f aca="false">LEN(E46)</f>
        <v>54</v>
      </c>
      <c r="G46" s="9" t="s">
        <v>1062</v>
      </c>
      <c r="H46" s="7" t="n">
        <f aca="false">LEN(G46)</f>
        <v>146</v>
      </c>
      <c r="I46" s="9" t="s">
        <v>427</v>
      </c>
      <c r="J46" s="9" t="s">
        <v>428</v>
      </c>
      <c r="K46" s="9" t="s">
        <v>1063</v>
      </c>
      <c r="L46" s="9" t="s">
        <v>1064</v>
      </c>
      <c r="M46" s="9" t="s">
        <v>1065</v>
      </c>
      <c r="N46" s="9" t="s">
        <v>1066</v>
      </c>
      <c r="O46" s="7" t="s">
        <v>670</v>
      </c>
      <c r="P46" s="9" t="s">
        <v>575</v>
      </c>
      <c r="Q46" s="9" t="s">
        <v>1067</v>
      </c>
      <c r="R46" s="7" t="s">
        <v>1068</v>
      </c>
      <c r="S46" s="7" t="s">
        <v>1069</v>
      </c>
      <c r="T46" s="7" t="s">
        <v>135</v>
      </c>
      <c r="U46" s="9" t="s">
        <v>430</v>
      </c>
      <c r="V46" s="9" t="s">
        <v>1070</v>
      </c>
      <c r="W46" s="9" t="s">
        <v>1071</v>
      </c>
      <c r="X46" s="7" t="s">
        <v>582</v>
      </c>
    </row>
    <row r="47" customFormat="false" ht="108" hidden="false" customHeight="true" outlineLevel="0" collapsed="false">
      <c r="A47" s="15" t="s">
        <v>434</v>
      </c>
      <c r="B47" s="8" t="n">
        <v>46394</v>
      </c>
      <c r="C47" s="9" t="s">
        <v>1072</v>
      </c>
      <c r="D47" s="9" t="str">
        <f aca="false">"https://ferreteria57.com/blog/"&amp;C47</f>
        <v>https://ferreteria57.com/blog/medida-milimetrica-vs-pulgadas-en-llaves-y-dados</v>
      </c>
      <c r="E47" s="9" t="s">
        <v>1073</v>
      </c>
      <c r="F47" s="7" t="n">
        <f aca="false">LEN(E47)</f>
        <v>46</v>
      </c>
      <c r="G47" s="9" t="s">
        <v>1074</v>
      </c>
      <c r="H47" s="7" t="n">
        <f aca="false">LEN(G47)</f>
        <v>149</v>
      </c>
      <c r="I47" s="9" t="s">
        <v>435</v>
      </c>
      <c r="J47" s="9" t="s">
        <v>436</v>
      </c>
      <c r="K47" s="9" t="s">
        <v>1075</v>
      </c>
      <c r="L47" s="9" t="s">
        <v>1076</v>
      </c>
      <c r="M47" s="9" t="s">
        <v>1077</v>
      </c>
      <c r="N47" s="9" t="s">
        <v>1078</v>
      </c>
      <c r="O47" s="7" t="s">
        <v>683</v>
      </c>
      <c r="P47" s="9" t="s">
        <v>575</v>
      </c>
      <c r="Q47" s="9" t="s">
        <v>1079</v>
      </c>
      <c r="R47" s="7" t="s">
        <v>1080</v>
      </c>
      <c r="S47" s="7" t="s">
        <v>1081</v>
      </c>
      <c r="T47" s="7" t="s">
        <v>34</v>
      </c>
      <c r="U47" s="9" t="s">
        <v>438</v>
      </c>
      <c r="V47" s="9" t="s">
        <v>32</v>
      </c>
      <c r="W47" s="9" t="s">
        <v>1082</v>
      </c>
      <c r="X47" s="7" t="s">
        <v>582</v>
      </c>
    </row>
    <row r="48" customFormat="false" ht="108" hidden="false" customHeight="true" outlineLevel="0" collapsed="false">
      <c r="A48" s="15" t="s">
        <v>443</v>
      </c>
      <c r="B48" s="8" t="n">
        <v>46396</v>
      </c>
      <c r="C48" s="9" t="s">
        <v>1083</v>
      </c>
      <c r="D48" s="9" t="str">
        <f aca="false">"https://ferreteria57.com/blog/"&amp;C48</f>
        <v>https://ferreteria57.com/blog/herramientas-para-tablaroca-primer-muro-falso</v>
      </c>
      <c r="E48" s="9" t="s">
        <v>1084</v>
      </c>
      <c r="F48" s="7" t="n">
        <f aca="false">LEN(E48)</f>
        <v>49</v>
      </c>
      <c r="G48" s="9" t="s">
        <v>1085</v>
      </c>
      <c r="H48" s="7" t="n">
        <f aca="false">LEN(G48)</f>
        <v>131</v>
      </c>
      <c r="I48" s="9" t="s">
        <v>444</v>
      </c>
      <c r="J48" s="9" t="s">
        <v>445</v>
      </c>
      <c r="K48" s="9" t="s">
        <v>1086</v>
      </c>
      <c r="L48" s="9" t="s">
        <v>1087</v>
      </c>
      <c r="M48" s="9" t="s">
        <v>1088</v>
      </c>
      <c r="N48" s="9" t="s">
        <v>1089</v>
      </c>
      <c r="O48" s="7" t="s">
        <v>696</v>
      </c>
      <c r="P48" s="9" t="s">
        <v>575</v>
      </c>
      <c r="Q48" s="9" t="s">
        <v>1090</v>
      </c>
      <c r="R48" s="7" t="s">
        <v>1091</v>
      </c>
      <c r="S48" s="7" t="s">
        <v>1092</v>
      </c>
      <c r="T48" s="7" t="s">
        <v>43</v>
      </c>
      <c r="U48" s="9" t="s">
        <v>447</v>
      </c>
      <c r="V48" s="9" t="s">
        <v>32</v>
      </c>
      <c r="W48" s="9" t="s">
        <v>1093</v>
      </c>
      <c r="X48" s="7" t="s">
        <v>582</v>
      </c>
    </row>
    <row r="49" customFormat="false" ht="108" hidden="false" customHeight="true" outlineLevel="0" collapsed="false">
      <c r="A49" s="15" t="s">
        <v>452</v>
      </c>
      <c r="B49" s="8" t="n">
        <v>46399</v>
      </c>
      <c r="C49" s="9" t="s">
        <v>1094</v>
      </c>
      <c r="D49" s="9" t="str">
        <f aca="false">"https://ferreteria57.com/blog/"&amp;C49</f>
        <v>https://ferreteria57.com/blog/diferencias-soldadura-6013-7018-herreria</v>
      </c>
      <c r="E49" s="9" t="s">
        <v>1095</v>
      </c>
      <c r="F49" s="7" t="n">
        <f aca="false">LEN(E49)</f>
        <v>52</v>
      </c>
      <c r="G49" s="9" t="s">
        <v>1096</v>
      </c>
      <c r="H49" s="7" t="n">
        <f aca="false">LEN(G49)</f>
        <v>123</v>
      </c>
      <c r="I49" s="9" t="s">
        <v>453</v>
      </c>
      <c r="J49" s="9" t="s">
        <v>454</v>
      </c>
      <c r="K49" s="9" t="s">
        <v>1097</v>
      </c>
      <c r="L49" s="9" t="s">
        <v>1098</v>
      </c>
      <c r="M49" s="9" t="s">
        <v>1099</v>
      </c>
      <c r="N49" s="9" t="s">
        <v>1100</v>
      </c>
      <c r="O49" s="7" t="s">
        <v>670</v>
      </c>
      <c r="P49" s="9" t="s">
        <v>575</v>
      </c>
      <c r="Q49" s="9" t="s">
        <v>1101</v>
      </c>
      <c r="R49" s="7" t="s">
        <v>1102</v>
      </c>
      <c r="S49" s="7" t="s">
        <v>1103</v>
      </c>
      <c r="T49" s="7" t="s">
        <v>43</v>
      </c>
      <c r="U49" s="9" t="s">
        <v>456</v>
      </c>
      <c r="V49" s="9" t="s">
        <v>32</v>
      </c>
      <c r="W49" s="9" t="s">
        <v>1104</v>
      </c>
      <c r="X49" s="7" t="s">
        <v>582</v>
      </c>
    </row>
    <row r="50" customFormat="false" ht="82.5" hidden="false" customHeight="true" outlineLevel="0" collapsed="false">
      <c r="A50" s="15" t="s">
        <v>460</v>
      </c>
      <c r="B50" s="8" t="n">
        <v>46401</v>
      </c>
      <c r="C50" s="9" t="s">
        <v>1105</v>
      </c>
      <c r="D50" s="9" t="str">
        <f aca="false">"https://ferreteria57.com/blog/"&amp;C50</f>
        <v>https://ferreteria57.com/blog/candado-para-motocicleta-bicicleta-y-rejas</v>
      </c>
      <c r="E50" s="9" t="s">
        <v>1106</v>
      </c>
      <c r="F50" s="7" t="n">
        <f aca="false">LEN(E50)</f>
        <v>50</v>
      </c>
      <c r="G50" s="9" t="s">
        <v>1107</v>
      </c>
      <c r="H50" s="7" t="n">
        <f aca="false">LEN(G50)</f>
        <v>121</v>
      </c>
      <c r="I50" s="9" t="s">
        <v>461</v>
      </c>
      <c r="J50" s="9" t="s">
        <v>462</v>
      </c>
      <c r="K50" s="9" t="s">
        <v>1108</v>
      </c>
      <c r="L50" s="9" t="s">
        <v>1109</v>
      </c>
      <c r="M50" s="9" t="s">
        <v>1110</v>
      </c>
      <c r="N50" s="9" t="s">
        <v>1111</v>
      </c>
      <c r="O50" s="7" t="s">
        <v>683</v>
      </c>
      <c r="P50" s="9" t="s">
        <v>575</v>
      </c>
      <c r="Q50" s="9" t="s">
        <v>1112</v>
      </c>
      <c r="R50" s="7" t="s">
        <v>1113</v>
      </c>
      <c r="S50" s="7" t="s">
        <v>32</v>
      </c>
      <c r="T50" s="7" t="s">
        <v>135</v>
      </c>
      <c r="U50" s="9" t="s">
        <v>464</v>
      </c>
      <c r="V50" s="9" t="s">
        <v>617</v>
      </c>
      <c r="W50" s="9" t="s">
        <v>1114</v>
      </c>
      <c r="X50" s="7" t="s">
        <v>582</v>
      </c>
    </row>
    <row r="51" customFormat="false" ht="133.5" hidden="false" customHeight="true" outlineLevel="0" collapsed="false">
      <c r="A51" s="15" t="s">
        <v>468</v>
      </c>
      <c r="B51" s="8" t="n">
        <v>46403</v>
      </c>
      <c r="C51" s="9" t="s">
        <v>1115</v>
      </c>
      <c r="D51" s="9" t="str">
        <f aca="false">"https://ferreteria57.com/blog/"&amp;C51</f>
        <v>https://ferreteria57.com/blog/como-usar-un-multimetro-digital-basico</v>
      </c>
      <c r="E51" s="9" t="s">
        <v>1116</v>
      </c>
      <c r="F51" s="7" t="n">
        <f aca="false">LEN(E51)</f>
        <v>52</v>
      </c>
      <c r="G51" s="9" t="s">
        <v>1117</v>
      </c>
      <c r="H51" s="7" t="n">
        <f aca="false">LEN(G51)</f>
        <v>140</v>
      </c>
      <c r="I51" s="9" t="s">
        <v>469</v>
      </c>
      <c r="J51" s="9" t="s">
        <v>470</v>
      </c>
      <c r="K51" s="9" t="s">
        <v>1118</v>
      </c>
      <c r="L51" s="9" t="s">
        <v>1119</v>
      </c>
      <c r="M51" s="9" t="s">
        <v>1120</v>
      </c>
      <c r="N51" s="9" t="s">
        <v>1121</v>
      </c>
      <c r="O51" s="7" t="s">
        <v>696</v>
      </c>
      <c r="P51" s="9" t="s">
        <v>575</v>
      </c>
      <c r="Q51" s="9" t="s">
        <v>1122</v>
      </c>
      <c r="R51" s="7" t="s">
        <v>1123</v>
      </c>
      <c r="S51" s="7" t="s">
        <v>32</v>
      </c>
      <c r="T51" s="7" t="s">
        <v>63</v>
      </c>
      <c r="U51" s="9" t="s">
        <v>472</v>
      </c>
      <c r="V51" s="9" t="s">
        <v>32</v>
      </c>
      <c r="W51" s="9" t="s">
        <v>1124</v>
      </c>
      <c r="X51" s="7" t="s">
        <v>582</v>
      </c>
    </row>
    <row r="52" customFormat="false" ht="133.5" hidden="false" customHeight="true" outlineLevel="0" collapsed="false">
      <c r="A52" s="15" t="s">
        <v>476</v>
      </c>
      <c r="B52" s="8" t="n">
        <v>46406</v>
      </c>
      <c r="C52" s="9" t="s">
        <v>1125</v>
      </c>
      <c r="D52" s="9" t="str">
        <f aca="false">"https://ferreteria57.com/blog/"&amp;C52</f>
        <v>https://ferreteria57.com/blog/tipos-de-discos-de-corte-diamante-abrasivo-sierra</v>
      </c>
      <c r="E52" s="9" t="s">
        <v>1126</v>
      </c>
      <c r="F52" s="7" t="n">
        <f aca="false">LEN(E52)</f>
        <v>49</v>
      </c>
      <c r="G52" s="9" t="s">
        <v>1127</v>
      </c>
      <c r="H52" s="7" t="n">
        <f aca="false">LEN(G52)</f>
        <v>136</v>
      </c>
      <c r="I52" s="9" t="s">
        <v>477</v>
      </c>
      <c r="J52" s="9" t="s">
        <v>478</v>
      </c>
      <c r="K52" s="9" t="s">
        <v>1128</v>
      </c>
      <c r="L52" s="9" t="s">
        <v>1129</v>
      </c>
      <c r="M52" s="9" t="s">
        <v>1130</v>
      </c>
      <c r="N52" s="9" t="s">
        <v>1131</v>
      </c>
      <c r="O52" s="7" t="s">
        <v>670</v>
      </c>
      <c r="P52" s="9" t="s">
        <v>575</v>
      </c>
      <c r="Q52" s="9" t="s">
        <v>1132</v>
      </c>
      <c r="R52" s="7" t="s">
        <v>1133</v>
      </c>
      <c r="S52" s="7" t="s">
        <v>1134</v>
      </c>
      <c r="T52" s="7" t="s">
        <v>34</v>
      </c>
      <c r="U52" s="9" t="s">
        <v>480</v>
      </c>
      <c r="V52" s="9" t="s">
        <v>32</v>
      </c>
      <c r="W52" s="9" t="s">
        <v>1135</v>
      </c>
      <c r="X52" s="7" t="s">
        <v>582</v>
      </c>
    </row>
    <row r="53" customFormat="false" ht="108" hidden="false" customHeight="true" outlineLevel="0" collapsed="false">
      <c r="A53" s="15" t="s">
        <v>485</v>
      </c>
      <c r="B53" s="8" t="n">
        <v>46408</v>
      </c>
      <c r="C53" s="9" t="s">
        <v>1136</v>
      </c>
      <c r="D53" s="9" t="str">
        <f aca="false">"https://ferreteria57.com/blog/"&amp;C53</f>
        <v>https://ferreteria57.com/blog/mangueras-industriales-de-aire-y-agua-vs-jardin</v>
      </c>
      <c r="E53" s="9" t="s">
        <v>1137</v>
      </c>
      <c r="F53" s="7" t="n">
        <f aca="false">LEN(E53)</f>
        <v>50</v>
      </c>
      <c r="G53" s="9" t="s">
        <v>1138</v>
      </c>
      <c r="H53" s="7" t="n">
        <f aca="false">LEN(G53)</f>
        <v>145</v>
      </c>
      <c r="I53" s="9" t="s">
        <v>486</v>
      </c>
      <c r="J53" s="9" t="s">
        <v>487</v>
      </c>
      <c r="K53" s="9" t="s">
        <v>1139</v>
      </c>
      <c r="L53" s="9" t="s">
        <v>1140</v>
      </c>
      <c r="M53" s="9" t="s">
        <v>1141</v>
      </c>
      <c r="N53" s="9" t="s">
        <v>1142</v>
      </c>
      <c r="O53" s="7" t="s">
        <v>683</v>
      </c>
      <c r="P53" s="9" t="s">
        <v>575</v>
      </c>
      <c r="Q53" s="9" t="s">
        <v>1143</v>
      </c>
      <c r="R53" s="7" t="s">
        <v>1144</v>
      </c>
      <c r="S53" s="7" t="s">
        <v>1145</v>
      </c>
      <c r="T53" s="7" t="s">
        <v>199</v>
      </c>
      <c r="U53" s="9" t="s">
        <v>489</v>
      </c>
      <c r="V53" s="9" t="s">
        <v>1146</v>
      </c>
      <c r="W53" s="9" t="s">
        <v>1147</v>
      </c>
      <c r="X53" s="7" t="s">
        <v>582</v>
      </c>
    </row>
    <row r="54" customFormat="false" ht="108" hidden="false" customHeight="true" outlineLevel="0" collapsed="false">
      <c r="A54" s="15" t="s">
        <v>494</v>
      </c>
      <c r="B54" s="8" t="n">
        <v>46410</v>
      </c>
      <c r="C54" s="9" t="s">
        <v>1148</v>
      </c>
      <c r="D54" s="9" t="str">
        <f aca="false">"https://ferreteria57.com/blog/"&amp;C54</f>
        <v>https://ferreteria57.com/blog/mantenimiento-basico-herramientas-electricas</v>
      </c>
      <c r="E54" s="9" t="s">
        <v>1149</v>
      </c>
      <c r="F54" s="7" t="n">
        <f aca="false">LEN(E54)</f>
        <v>55</v>
      </c>
      <c r="G54" s="9" t="s">
        <v>1150</v>
      </c>
      <c r="H54" s="7" t="n">
        <f aca="false">LEN(G54)</f>
        <v>133</v>
      </c>
      <c r="I54" s="9" t="s">
        <v>495</v>
      </c>
      <c r="J54" s="9" t="s">
        <v>496</v>
      </c>
      <c r="K54" s="9" t="s">
        <v>1151</v>
      </c>
      <c r="L54" s="9" t="s">
        <v>1152</v>
      </c>
      <c r="M54" s="9" t="s">
        <v>1153</v>
      </c>
      <c r="N54" s="9" t="s">
        <v>1154</v>
      </c>
      <c r="O54" s="7" t="s">
        <v>696</v>
      </c>
      <c r="P54" s="9" t="s">
        <v>575</v>
      </c>
      <c r="Q54" s="9" t="s">
        <v>1155</v>
      </c>
      <c r="R54" s="7" t="s">
        <v>1156</v>
      </c>
      <c r="S54" s="7" t="s">
        <v>1157</v>
      </c>
      <c r="T54" s="7" t="s">
        <v>34</v>
      </c>
      <c r="U54" s="9" t="s">
        <v>498</v>
      </c>
      <c r="V54" s="9" t="s">
        <v>32</v>
      </c>
      <c r="W54" s="9" t="s">
        <v>1158</v>
      </c>
      <c r="X54" s="7" t="s">
        <v>582</v>
      </c>
    </row>
    <row r="55" customFormat="false" ht="120.75" hidden="false" customHeight="true" outlineLevel="0" collapsed="false">
      <c r="A55" s="15" t="s">
        <v>502</v>
      </c>
      <c r="B55" s="8" t="n">
        <v>46413</v>
      </c>
      <c r="C55" s="9" t="s">
        <v>1159</v>
      </c>
      <c r="D55" s="9" t="str">
        <f aca="false">"https://ferreteria57.com/blog/"&amp;C55</f>
        <v>https://ferreteria57.com/blog/diferencia-cemento-blanco-gris-mortero-yeso</v>
      </c>
      <c r="E55" s="9" t="s">
        <v>1160</v>
      </c>
      <c r="F55" s="7" t="n">
        <f aca="false">LEN(E55)</f>
        <v>49</v>
      </c>
      <c r="G55" s="9" t="s">
        <v>1161</v>
      </c>
      <c r="H55" s="7" t="n">
        <f aca="false">LEN(G55)</f>
        <v>125</v>
      </c>
      <c r="I55" s="9" t="s">
        <v>503</v>
      </c>
      <c r="J55" s="9" t="s">
        <v>504</v>
      </c>
      <c r="K55" s="9" t="s">
        <v>1162</v>
      </c>
      <c r="L55" s="9" t="s">
        <v>1163</v>
      </c>
      <c r="M55" s="9" t="s">
        <v>1164</v>
      </c>
      <c r="N55" s="9" t="s">
        <v>1165</v>
      </c>
      <c r="O55" s="7" t="s">
        <v>670</v>
      </c>
      <c r="P55" s="9" t="s">
        <v>575</v>
      </c>
      <c r="Q55" s="9" t="s">
        <v>1166</v>
      </c>
      <c r="R55" s="7" t="s">
        <v>1167</v>
      </c>
      <c r="S55" s="7" t="s">
        <v>32</v>
      </c>
      <c r="T55" s="7" t="s">
        <v>43</v>
      </c>
      <c r="U55" s="9" t="s">
        <v>506</v>
      </c>
      <c r="V55" s="9" t="s">
        <v>32</v>
      </c>
      <c r="W55" s="9" t="s">
        <v>1168</v>
      </c>
      <c r="X55" s="7" t="s">
        <v>582</v>
      </c>
    </row>
    <row r="56" customFormat="false" ht="133.5" hidden="false" customHeight="true" outlineLevel="0" collapsed="false">
      <c r="A56" s="15" t="s">
        <v>510</v>
      </c>
      <c r="B56" s="8" t="n">
        <v>46415</v>
      </c>
      <c r="C56" s="9" t="s">
        <v>1169</v>
      </c>
      <c r="D56" s="9" t="str">
        <f aca="false">"https://ferreteria57.com/blog/"&amp;C56</f>
        <v>https://ferreteria57.com/blog/como-leer-un-flexometro-fracciones-de-pulgada-y-milimetros</v>
      </c>
      <c r="E56" s="9" t="s">
        <v>1170</v>
      </c>
      <c r="F56" s="7" t="n">
        <f aca="false">LEN(E56)</f>
        <v>50</v>
      </c>
      <c r="G56" s="9" t="s">
        <v>1171</v>
      </c>
      <c r="H56" s="7" t="n">
        <f aca="false">LEN(G56)</f>
        <v>140</v>
      </c>
      <c r="I56" s="9" t="s">
        <v>511</v>
      </c>
      <c r="J56" s="9" t="s">
        <v>512</v>
      </c>
      <c r="K56" s="9" t="s">
        <v>1172</v>
      </c>
      <c r="L56" s="9" t="s">
        <v>1173</v>
      </c>
      <c r="M56" s="9" t="s">
        <v>1174</v>
      </c>
      <c r="N56" s="9" t="s">
        <v>1175</v>
      </c>
      <c r="O56" s="7" t="s">
        <v>683</v>
      </c>
      <c r="P56" s="9" t="s">
        <v>575</v>
      </c>
      <c r="Q56" s="9" t="s">
        <v>1176</v>
      </c>
      <c r="R56" s="7" t="s">
        <v>1177</v>
      </c>
      <c r="S56" s="7" t="s">
        <v>32</v>
      </c>
      <c r="T56" s="7" t="s">
        <v>34</v>
      </c>
      <c r="U56" s="9" t="s">
        <v>514</v>
      </c>
      <c r="V56" s="9" t="s">
        <v>32</v>
      </c>
      <c r="W56" s="9" t="s">
        <v>1178</v>
      </c>
      <c r="X56" s="7" t="s">
        <v>582</v>
      </c>
    </row>
    <row r="57" customFormat="false" ht="159" hidden="false" customHeight="true" outlineLevel="0" collapsed="false">
      <c r="A57" s="15" t="s">
        <v>519</v>
      </c>
      <c r="B57" s="8" t="n">
        <v>46417</v>
      </c>
      <c r="C57" s="9" t="s">
        <v>1179</v>
      </c>
      <c r="D57" s="9" t="str">
        <f aca="false">"https://ferreteria57.com/blog/"&amp;C57</f>
        <v>https://ferreteria57.com/blog/guia-de-lijas-que-grano-usar-madera-metal-agua</v>
      </c>
      <c r="E57" s="9" t="s">
        <v>1180</v>
      </c>
      <c r="F57" s="7" t="n">
        <f aca="false">LEN(E57)</f>
        <v>53</v>
      </c>
      <c r="G57" s="9" t="s">
        <v>1181</v>
      </c>
      <c r="H57" s="7" t="n">
        <f aca="false">LEN(G57)</f>
        <v>123</v>
      </c>
      <c r="I57" s="9" t="s">
        <v>520</v>
      </c>
      <c r="J57" s="9" t="s">
        <v>521</v>
      </c>
      <c r="K57" s="9" t="s">
        <v>1182</v>
      </c>
      <c r="L57" s="9" t="s">
        <v>1183</v>
      </c>
      <c r="M57" s="9" t="s">
        <v>1184</v>
      </c>
      <c r="N57" s="9" t="s">
        <v>1185</v>
      </c>
      <c r="O57" s="7" t="s">
        <v>696</v>
      </c>
      <c r="P57" s="9" t="s">
        <v>575</v>
      </c>
      <c r="Q57" s="9" t="s">
        <v>1186</v>
      </c>
      <c r="R57" s="7" t="s">
        <v>1187</v>
      </c>
      <c r="S57" s="7" t="s">
        <v>32</v>
      </c>
      <c r="T57" s="7" t="s">
        <v>34</v>
      </c>
      <c r="U57" s="9" t="s">
        <v>523</v>
      </c>
      <c r="V57" s="9" t="s">
        <v>32</v>
      </c>
      <c r="W57" s="9" t="s">
        <v>1188</v>
      </c>
      <c r="X57" s="7" t="s">
        <v>582</v>
      </c>
    </row>
    <row r="58" customFormat="false" ht="95.25" hidden="false" customHeight="true" outlineLevel="0" collapsed="false">
      <c r="A58" s="16" t="s">
        <v>528</v>
      </c>
      <c r="B58" s="12"/>
      <c r="C58" s="13" t="s">
        <v>1189</v>
      </c>
      <c r="D58" s="13" t="str">
        <f aca="false">"https://ferreteria57.com/blog/"&amp;C58</f>
        <v>https://ferreteria57.com/blog/herramientas-manuales-para-preparar-jardin-en-primavera</v>
      </c>
      <c r="E58" s="13" t="s">
        <v>1190</v>
      </c>
      <c r="F58" s="11" t="n">
        <f aca="false">LEN(E58)</f>
        <v>49</v>
      </c>
      <c r="G58" s="13" t="s">
        <v>1191</v>
      </c>
      <c r="H58" s="11" t="n">
        <f aca="false">LEN(G58)</f>
        <v>124</v>
      </c>
      <c r="I58" s="13" t="s">
        <v>530</v>
      </c>
      <c r="J58" s="13" t="s">
        <v>531</v>
      </c>
      <c r="K58" s="13" t="s">
        <v>1192</v>
      </c>
      <c r="L58" s="13" t="s">
        <v>1193</v>
      </c>
      <c r="M58" s="13" t="s">
        <v>1194</v>
      </c>
      <c r="N58" s="13" t="s">
        <v>1195</v>
      </c>
      <c r="O58" s="11" t="s">
        <v>696</v>
      </c>
      <c r="P58" s="13" t="s">
        <v>575</v>
      </c>
      <c r="Q58" s="13" t="s">
        <v>1196</v>
      </c>
      <c r="R58" s="11" t="s">
        <v>32</v>
      </c>
      <c r="S58" s="11" t="s">
        <v>1197</v>
      </c>
      <c r="T58" s="11" t="s">
        <v>34</v>
      </c>
      <c r="U58" s="13" t="s">
        <v>534</v>
      </c>
      <c r="V58" s="13" t="s">
        <v>617</v>
      </c>
      <c r="W58" s="13" t="s">
        <v>1198</v>
      </c>
      <c r="X58" s="11" t="s">
        <v>582</v>
      </c>
    </row>
    <row r="59" customFormat="false" ht="108" hidden="false" customHeight="true" outlineLevel="0" collapsed="false">
      <c r="A59" s="16" t="s">
        <v>538</v>
      </c>
      <c r="B59" s="12"/>
      <c r="C59" s="13" t="s">
        <v>1199</v>
      </c>
      <c r="D59" s="13" t="str">
        <f aca="false">"https://ferreteria57.com/blog/"&amp;C59</f>
        <v>https://ferreteria57.com/blog/impermeabilizante-acrilico-vs-manto-prefabricado</v>
      </c>
      <c r="E59" s="13" t="s">
        <v>1200</v>
      </c>
      <c r="F59" s="11" t="n">
        <f aca="false">LEN(E59)</f>
        <v>50</v>
      </c>
      <c r="G59" s="13" t="s">
        <v>1201</v>
      </c>
      <c r="H59" s="11" t="n">
        <f aca="false">LEN(G59)</f>
        <v>121</v>
      </c>
      <c r="I59" s="13" t="s">
        <v>539</v>
      </c>
      <c r="J59" s="13" t="s">
        <v>540</v>
      </c>
      <c r="K59" s="13" t="s">
        <v>1202</v>
      </c>
      <c r="L59" s="13" t="s">
        <v>1203</v>
      </c>
      <c r="M59" s="13" t="s">
        <v>1204</v>
      </c>
      <c r="N59" s="13" t="s">
        <v>1205</v>
      </c>
      <c r="O59" s="11" t="s">
        <v>696</v>
      </c>
      <c r="P59" s="13" t="s">
        <v>575</v>
      </c>
      <c r="Q59" s="13" t="s">
        <v>1206</v>
      </c>
      <c r="R59" s="11" t="s">
        <v>32</v>
      </c>
      <c r="S59" s="11" t="s">
        <v>1207</v>
      </c>
      <c r="T59" s="11" t="s">
        <v>92</v>
      </c>
      <c r="U59" s="13" t="s">
        <v>542</v>
      </c>
      <c r="V59" s="13" t="s">
        <v>617</v>
      </c>
      <c r="W59" s="13" t="s">
        <v>1208</v>
      </c>
      <c r="X59" s="11" t="s">
        <v>582</v>
      </c>
    </row>
  </sheetData>
  <autoFilter ref="A1:X59"/>
  <dataValidations count="1">
    <dataValidation allowBlank="false" errorStyle="stop" operator="between" showDropDown="false" showErrorMessage="false" showInputMessage="false" sqref="X2:X59" type="list">
      <formula1>"Brief listo,Borrador,En revisión,Aprobado"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3" min="3" style="0" width="46"/>
    <col collapsed="false" customWidth="true" hidden="false" outlineLevel="0" max="4" min="4" style="0" width="44"/>
    <col collapsed="false" customWidth="true" hidden="false" outlineLevel="0" max="5" min="5" style="0" width="46"/>
    <col collapsed="false" customWidth="true" hidden="false" outlineLevel="0" max="6" min="6" style="0" width="28"/>
    <col collapsed="false" customWidth="true" hidden="false" outlineLevel="0" max="7" min="7" style="0" width="9"/>
    <col collapsed="false" customWidth="true" hidden="false" outlineLevel="0" max="8" min="8" style="0" width="70"/>
    <col collapsed="false" customWidth="true" hidden="false" outlineLevel="0" max="9" min="9" style="0" width="46"/>
    <col collapsed="false" customWidth="true" hidden="false" outlineLevel="0" max="10" min="10" style="0" width="52"/>
    <col collapsed="false" customWidth="true" hidden="false" outlineLevel="0" max="11" min="11" style="0" width="12"/>
  </cols>
  <sheetData>
    <row r="1" customFormat="false" ht="33.75" hidden="false" customHeight="true" outlineLevel="0" collapsed="false">
      <c r="A1" s="1" t="s">
        <v>0</v>
      </c>
      <c r="B1" s="1" t="s">
        <v>2</v>
      </c>
      <c r="C1" s="1" t="s">
        <v>1209</v>
      </c>
      <c r="D1" s="1" t="s">
        <v>1210</v>
      </c>
      <c r="E1" s="1" t="s">
        <v>1211</v>
      </c>
      <c r="F1" s="1" t="s">
        <v>1212</v>
      </c>
      <c r="G1" s="1" t="s">
        <v>1213</v>
      </c>
      <c r="H1" s="1" t="s">
        <v>1214</v>
      </c>
      <c r="I1" s="1" t="s">
        <v>1215</v>
      </c>
      <c r="J1" s="1" t="s">
        <v>1216</v>
      </c>
      <c r="K1" s="1" t="s">
        <v>1217</v>
      </c>
    </row>
    <row r="2" customFormat="false" ht="69.75" hidden="false" customHeight="true" outlineLevel="0" collapsed="false">
      <c r="A2" s="14" t="s">
        <v>18</v>
      </c>
      <c r="B2" s="4" t="n">
        <v>46304</v>
      </c>
      <c r="C2" s="5" t="s">
        <v>23</v>
      </c>
      <c r="D2" s="5" t="s">
        <v>29</v>
      </c>
      <c r="E2" s="5" t="s">
        <v>1218</v>
      </c>
      <c r="F2" s="5" t="s">
        <v>1219</v>
      </c>
      <c r="G2" s="3" t="n">
        <v>2</v>
      </c>
      <c r="H2" s="5" t="s">
        <v>1220</v>
      </c>
      <c r="I2" s="5" t="s">
        <v>28</v>
      </c>
      <c r="J2" s="5" t="s">
        <v>1221</v>
      </c>
      <c r="K2" s="3" t="s">
        <v>1222</v>
      </c>
    </row>
    <row r="3" customFormat="false" ht="44.25" hidden="false" customHeight="true" outlineLevel="0" collapsed="false">
      <c r="A3" s="14" t="s">
        <v>34</v>
      </c>
      <c r="B3" s="4" t="n">
        <v>46304</v>
      </c>
      <c r="C3" s="5" t="s">
        <v>36</v>
      </c>
      <c r="D3" s="5" t="s">
        <v>41</v>
      </c>
      <c r="E3" s="5" t="s">
        <v>1223</v>
      </c>
      <c r="F3" s="5" t="s">
        <v>1224</v>
      </c>
      <c r="G3" s="3" t="n">
        <v>2</v>
      </c>
      <c r="H3" s="5" t="s">
        <v>1225</v>
      </c>
      <c r="I3" s="5" t="s">
        <v>40</v>
      </c>
      <c r="J3" s="5" t="s">
        <v>1226</v>
      </c>
      <c r="K3" s="3" t="s">
        <v>1222</v>
      </c>
    </row>
    <row r="4" customFormat="false" ht="44.25" hidden="false" customHeight="true" outlineLevel="0" collapsed="false">
      <c r="A4" s="14" t="s">
        <v>43</v>
      </c>
      <c r="B4" s="4" t="n">
        <v>46304</v>
      </c>
      <c r="C4" s="5" t="s">
        <v>45</v>
      </c>
      <c r="D4" s="5" t="s">
        <v>50</v>
      </c>
      <c r="E4" s="5" t="s">
        <v>1227</v>
      </c>
      <c r="F4" s="5" t="s">
        <v>1228</v>
      </c>
      <c r="G4" s="3" t="n">
        <v>1</v>
      </c>
      <c r="H4" s="5" t="s">
        <v>1229</v>
      </c>
      <c r="I4" s="5" t="s">
        <v>49</v>
      </c>
      <c r="J4" s="5" t="s">
        <v>1230</v>
      </c>
      <c r="K4" s="3" t="s">
        <v>1222</v>
      </c>
    </row>
    <row r="5" customFormat="false" ht="57" hidden="false" customHeight="true" outlineLevel="0" collapsed="false">
      <c r="A5" s="14" t="s">
        <v>53</v>
      </c>
      <c r="B5" s="4" t="n">
        <v>46304</v>
      </c>
      <c r="C5" s="5" t="s">
        <v>55</v>
      </c>
      <c r="D5" s="5" t="s">
        <v>59</v>
      </c>
      <c r="E5" s="5" t="s">
        <v>1231</v>
      </c>
      <c r="F5" s="5" t="s">
        <v>1232</v>
      </c>
      <c r="G5" s="3" t="n">
        <v>2</v>
      </c>
      <c r="H5" s="5" t="s">
        <v>1233</v>
      </c>
      <c r="I5" s="5" t="s">
        <v>58</v>
      </c>
      <c r="J5" s="5" t="s">
        <v>1234</v>
      </c>
      <c r="K5" s="3" t="s">
        <v>1222</v>
      </c>
    </row>
    <row r="6" customFormat="false" ht="57" hidden="false" customHeight="true" outlineLevel="0" collapsed="false">
      <c r="A6" s="14" t="s">
        <v>63</v>
      </c>
      <c r="B6" s="4" t="n">
        <v>46304</v>
      </c>
      <c r="C6" s="5" t="s">
        <v>65</v>
      </c>
      <c r="D6" s="5" t="s">
        <v>69</v>
      </c>
      <c r="E6" s="5" t="s">
        <v>1235</v>
      </c>
      <c r="F6" s="5" t="s">
        <v>1236</v>
      </c>
      <c r="G6" s="3" t="n">
        <v>2</v>
      </c>
      <c r="H6" s="5" t="s">
        <v>1237</v>
      </c>
      <c r="I6" s="5" t="s">
        <v>68</v>
      </c>
      <c r="J6" s="5" t="s">
        <v>1238</v>
      </c>
      <c r="K6" s="3" t="s">
        <v>1222</v>
      </c>
    </row>
    <row r="7" customFormat="false" ht="44.25" hidden="false" customHeight="true" outlineLevel="0" collapsed="false">
      <c r="A7" s="14" t="s">
        <v>73</v>
      </c>
      <c r="B7" s="4" t="n">
        <v>46304</v>
      </c>
      <c r="C7" s="5" t="s">
        <v>75</v>
      </c>
      <c r="D7" s="5" t="s">
        <v>79</v>
      </c>
      <c r="E7" s="5" t="s">
        <v>1239</v>
      </c>
      <c r="F7" s="5" t="s">
        <v>1240</v>
      </c>
      <c r="G7" s="3" t="n">
        <v>2</v>
      </c>
      <c r="H7" s="5" t="s">
        <v>1241</v>
      </c>
      <c r="I7" s="5" t="s">
        <v>78</v>
      </c>
      <c r="J7" s="5" t="s">
        <v>1242</v>
      </c>
      <c r="K7" s="3" t="s">
        <v>1222</v>
      </c>
    </row>
    <row r="8" customFormat="false" ht="57" hidden="false" customHeight="true" outlineLevel="0" collapsed="false">
      <c r="A8" s="14" t="s">
        <v>83</v>
      </c>
      <c r="B8" s="4" t="n">
        <v>46304</v>
      </c>
      <c r="C8" s="5" t="s">
        <v>84</v>
      </c>
      <c r="D8" s="5" t="s">
        <v>88</v>
      </c>
      <c r="E8" s="5" t="s">
        <v>1243</v>
      </c>
      <c r="F8" s="5" t="s">
        <v>1244</v>
      </c>
      <c r="G8" s="3" t="n">
        <v>2</v>
      </c>
      <c r="H8" s="5" t="s">
        <v>1245</v>
      </c>
      <c r="I8" s="5" t="s">
        <v>87</v>
      </c>
      <c r="J8" s="5" t="s">
        <v>1246</v>
      </c>
      <c r="K8" s="3" t="s">
        <v>1222</v>
      </c>
    </row>
    <row r="9" customFormat="false" ht="44.25" hidden="false" customHeight="true" outlineLevel="0" collapsed="false">
      <c r="A9" s="14" t="s">
        <v>92</v>
      </c>
      <c r="B9" s="4" t="n">
        <v>46304</v>
      </c>
      <c r="C9" s="5" t="s">
        <v>93</v>
      </c>
      <c r="D9" s="5" t="s">
        <v>97</v>
      </c>
      <c r="E9" s="5" t="s">
        <v>1247</v>
      </c>
      <c r="F9" s="5" t="s">
        <v>1248</v>
      </c>
      <c r="G9" s="3" t="n">
        <v>1</v>
      </c>
      <c r="H9" s="5" t="s">
        <v>1249</v>
      </c>
      <c r="I9" s="5" t="s">
        <v>96</v>
      </c>
      <c r="J9" s="5" t="s">
        <v>1250</v>
      </c>
      <c r="K9" s="3" t="s">
        <v>1222</v>
      </c>
    </row>
    <row r="10" customFormat="false" ht="44.25" hidden="false" customHeight="true" outlineLevel="0" collapsed="false">
      <c r="A10" s="15" t="s">
        <v>101</v>
      </c>
      <c r="B10" s="8" t="n">
        <v>46308</v>
      </c>
      <c r="C10" s="9" t="s">
        <v>106</v>
      </c>
      <c r="D10" s="9" t="s">
        <v>110</v>
      </c>
      <c r="E10" s="9" t="s">
        <v>1251</v>
      </c>
      <c r="F10" s="9" t="s">
        <v>1252</v>
      </c>
      <c r="G10" s="7" t="n">
        <v>1</v>
      </c>
      <c r="H10" s="9" t="s">
        <v>1253</v>
      </c>
      <c r="I10" s="9" t="s">
        <v>109</v>
      </c>
      <c r="J10" s="9" t="s">
        <v>1254</v>
      </c>
      <c r="K10" s="7" t="s">
        <v>1222</v>
      </c>
    </row>
    <row r="11" customFormat="false" ht="44.25" hidden="false" customHeight="true" outlineLevel="0" collapsed="false">
      <c r="A11" s="15" t="s">
        <v>114</v>
      </c>
      <c r="B11" s="8" t="n">
        <v>46310</v>
      </c>
      <c r="C11" s="9" t="s">
        <v>118</v>
      </c>
      <c r="D11" s="9" t="s">
        <v>122</v>
      </c>
      <c r="E11" s="9" t="s">
        <v>1255</v>
      </c>
      <c r="F11" s="9" t="s">
        <v>1256</v>
      </c>
      <c r="G11" s="7" t="n">
        <v>2</v>
      </c>
      <c r="H11" s="9" t="s">
        <v>1257</v>
      </c>
      <c r="I11" s="9" t="s">
        <v>121</v>
      </c>
      <c r="J11" s="9" t="s">
        <v>1258</v>
      </c>
      <c r="K11" s="7" t="s">
        <v>1222</v>
      </c>
    </row>
    <row r="12" customFormat="false" ht="31.5" hidden="false" customHeight="true" outlineLevel="0" collapsed="false">
      <c r="A12" s="15" t="s">
        <v>124</v>
      </c>
      <c r="B12" s="8" t="n">
        <v>46312</v>
      </c>
      <c r="C12" s="9" t="s">
        <v>127</v>
      </c>
      <c r="D12" s="9" t="s">
        <v>131</v>
      </c>
      <c r="E12" s="9" t="s">
        <v>1259</v>
      </c>
      <c r="F12" s="9" t="s">
        <v>1260</v>
      </c>
      <c r="G12" s="7" t="n">
        <v>1</v>
      </c>
      <c r="H12" s="9" t="s">
        <v>1261</v>
      </c>
      <c r="I12" s="9" t="s">
        <v>130</v>
      </c>
      <c r="J12" s="9" t="s">
        <v>1262</v>
      </c>
      <c r="K12" s="7" t="s">
        <v>1222</v>
      </c>
    </row>
    <row r="13" customFormat="false" ht="44.25" hidden="false" customHeight="true" outlineLevel="0" collapsed="false">
      <c r="A13" s="15" t="s">
        <v>135</v>
      </c>
      <c r="B13" s="8" t="n">
        <v>46315</v>
      </c>
      <c r="C13" s="9" t="s">
        <v>137</v>
      </c>
      <c r="D13" s="9" t="s">
        <v>141</v>
      </c>
      <c r="E13" s="9" t="s">
        <v>1263</v>
      </c>
      <c r="F13" s="9" t="s">
        <v>1264</v>
      </c>
      <c r="G13" s="7" t="n">
        <v>2</v>
      </c>
      <c r="H13" s="9" t="s">
        <v>1265</v>
      </c>
      <c r="I13" s="9" t="s">
        <v>140</v>
      </c>
      <c r="J13" s="9" t="s">
        <v>1266</v>
      </c>
      <c r="K13" s="7" t="s">
        <v>1222</v>
      </c>
    </row>
    <row r="14" customFormat="false" ht="44.25" hidden="false" customHeight="true" outlineLevel="0" collapsed="false">
      <c r="A14" s="15" t="s">
        <v>145</v>
      </c>
      <c r="B14" s="8" t="n">
        <v>46317</v>
      </c>
      <c r="C14" s="9" t="s">
        <v>146</v>
      </c>
      <c r="D14" s="9" t="s">
        <v>150</v>
      </c>
      <c r="E14" s="9" t="s">
        <v>1267</v>
      </c>
      <c r="F14" s="9" t="s">
        <v>1268</v>
      </c>
      <c r="G14" s="7" t="n">
        <v>1</v>
      </c>
      <c r="H14" s="9" t="s">
        <v>1269</v>
      </c>
      <c r="I14" s="9" t="s">
        <v>149</v>
      </c>
      <c r="J14" s="9" t="s">
        <v>1270</v>
      </c>
      <c r="K14" s="7" t="s">
        <v>1222</v>
      </c>
    </row>
    <row r="15" customFormat="false" ht="44.25" hidden="false" customHeight="true" outlineLevel="0" collapsed="false">
      <c r="A15" s="15" t="s">
        <v>154</v>
      </c>
      <c r="B15" s="8" t="n">
        <v>46319</v>
      </c>
      <c r="C15" s="9" t="s">
        <v>155</v>
      </c>
      <c r="D15" s="9" t="s">
        <v>159</v>
      </c>
      <c r="E15" s="9" t="s">
        <v>1271</v>
      </c>
      <c r="F15" s="9" t="s">
        <v>1272</v>
      </c>
      <c r="G15" s="7" t="n">
        <v>1</v>
      </c>
      <c r="H15" s="9" t="s">
        <v>1273</v>
      </c>
      <c r="I15" s="9" t="s">
        <v>158</v>
      </c>
      <c r="J15" s="9" t="s">
        <v>1274</v>
      </c>
      <c r="K15" s="7" t="s">
        <v>1222</v>
      </c>
    </row>
    <row r="16" customFormat="false" ht="44.25" hidden="false" customHeight="true" outlineLevel="0" collapsed="false">
      <c r="A16" s="15" t="s">
        <v>163</v>
      </c>
      <c r="B16" s="8" t="n">
        <v>46322</v>
      </c>
      <c r="C16" s="9" t="s">
        <v>164</v>
      </c>
      <c r="D16" s="9" t="s">
        <v>168</v>
      </c>
      <c r="E16" s="9" t="s">
        <v>1275</v>
      </c>
      <c r="F16" s="9" t="s">
        <v>1276</v>
      </c>
      <c r="G16" s="7" t="n">
        <v>2</v>
      </c>
      <c r="H16" s="9" t="s">
        <v>1277</v>
      </c>
      <c r="I16" s="9" t="s">
        <v>167</v>
      </c>
      <c r="J16" s="9" t="s">
        <v>1278</v>
      </c>
      <c r="K16" s="7" t="s">
        <v>1222</v>
      </c>
    </row>
    <row r="17" customFormat="false" ht="31.5" hidden="false" customHeight="true" outlineLevel="0" collapsed="false">
      <c r="A17" s="15" t="s">
        <v>172</v>
      </c>
      <c r="B17" s="8" t="n">
        <v>46324</v>
      </c>
      <c r="C17" s="9" t="s">
        <v>173</v>
      </c>
      <c r="D17" s="9" t="s">
        <v>177</v>
      </c>
      <c r="E17" s="9" t="s">
        <v>1279</v>
      </c>
      <c r="F17" s="9" t="s">
        <v>1248</v>
      </c>
      <c r="G17" s="7" t="n">
        <v>1</v>
      </c>
      <c r="H17" s="9" t="s">
        <v>1280</v>
      </c>
      <c r="I17" s="9" t="s">
        <v>176</v>
      </c>
      <c r="J17" s="9" t="s">
        <v>1281</v>
      </c>
      <c r="K17" s="7" t="s">
        <v>1222</v>
      </c>
    </row>
    <row r="18" customFormat="false" ht="57" hidden="false" customHeight="true" outlineLevel="0" collapsed="false">
      <c r="A18" s="15" t="s">
        <v>181</v>
      </c>
      <c r="B18" s="8" t="n">
        <v>46326</v>
      </c>
      <c r="C18" s="9" t="s">
        <v>182</v>
      </c>
      <c r="D18" s="9" t="s">
        <v>186</v>
      </c>
      <c r="E18" s="9" t="s">
        <v>1282</v>
      </c>
      <c r="F18" s="9" t="s">
        <v>1283</v>
      </c>
      <c r="G18" s="7" t="n">
        <v>1</v>
      </c>
      <c r="H18" s="9" t="s">
        <v>1284</v>
      </c>
      <c r="I18" s="9" t="s">
        <v>185</v>
      </c>
      <c r="J18" s="9" t="s">
        <v>1285</v>
      </c>
      <c r="K18" s="7" t="s">
        <v>1222</v>
      </c>
    </row>
    <row r="19" customFormat="false" ht="44.25" hidden="false" customHeight="true" outlineLevel="0" collapsed="false">
      <c r="A19" s="15" t="s">
        <v>189</v>
      </c>
      <c r="B19" s="8" t="n">
        <v>46329</v>
      </c>
      <c r="C19" s="9" t="s">
        <v>191</v>
      </c>
      <c r="D19" s="9" t="s">
        <v>195</v>
      </c>
      <c r="E19" s="9" t="s">
        <v>1286</v>
      </c>
      <c r="F19" s="9" t="s">
        <v>1287</v>
      </c>
      <c r="G19" s="7" t="n">
        <v>2</v>
      </c>
      <c r="H19" s="9" t="s">
        <v>1288</v>
      </c>
      <c r="I19" s="9" t="s">
        <v>194</v>
      </c>
      <c r="J19" s="9" t="s">
        <v>1289</v>
      </c>
      <c r="K19" s="7" t="s">
        <v>1222</v>
      </c>
    </row>
    <row r="20" customFormat="false" ht="31.5" hidden="false" customHeight="true" outlineLevel="0" collapsed="false">
      <c r="A20" s="15" t="s">
        <v>199</v>
      </c>
      <c r="B20" s="8" t="n">
        <v>46331</v>
      </c>
      <c r="C20" s="9" t="s">
        <v>201</v>
      </c>
      <c r="D20" s="9" t="s">
        <v>206</v>
      </c>
      <c r="E20" s="9" t="s">
        <v>1290</v>
      </c>
      <c r="F20" s="9" t="s">
        <v>1291</v>
      </c>
      <c r="G20" s="7" t="n">
        <v>2</v>
      </c>
      <c r="H20" s="9" t="s">
        <v>1292</v>
      </c>
      <c r="I20" s="9" t="s">
        <v>205</v>
      </c>
      <c r="J20" s="9" t="s">
        <v>1293</v>
      </c>
      <c r="K20" s="7" t="s">
        <v>1222</v>
      </c>
    </row>
    <row r="21" customFormat="false" ht="44.25" hidden="false" customHeight="true" outlineLevel="0" collapsed="false">
      <c r="A21" s="15" t="s">
        <v>209</v>
      </c>
      <c r="B21" s="8" t="n">
        <v>46333</v>
      </c>
      <c r="C21" s="9" t="s">
        <v>210</v>
      </c>
      <c r="D21" s="9" t="s">
        <v>214</v>
      </c>
      <c r="E21" s="9" t="s">
        <v>1294</v>
      </c>
      <c r="F21" s="9" t="s">
        <v>1295</v>
      </c>
      <c r="G21" s="7" t="n">
        <v>1</v>
      </c>
      <c r="H21" s="9" t="s">
        <v>1296</v>
      </c>
      <c r="I21" s="9" t="s">
        <v>213</v>
      </c>
      <c r="J21" s="9" t="s">
        <v>1297</v>
      </c>
      <c r="K21" s="7" t="s">
        <v>1222</v>
      </c>
    </row>
    <row r="22" customFormat="false" ht="57" hidden="false" customHeight="true" outlineLevel="0" collapsed="false">
      <c r="A22" s="15" t="s">
        <v>217</v>
      </c>
      <c r="B22" s="8" t="n">
        <v>46336</v>
      </c>
      <c r="C22" s="9" t="s">
        <v>218</v>
      </c>
      <c r="D22" s="9" t="s">
        <v>222</v>
      </c>
      <c r="E22" s="9" t="s">
        <v>1298</v>
      </c>
      <c r="F22" s="9" t="s">
        <v>1299</v>
      </c>
      <c r="G22" s="7" t="n">
        <v>1</v>
      </c>
      <c r="H22" s="9" t="s">
        <v>1300</v>
      </c>
      <c r="I22" s="9" t="s">
        <v>221</v>
      </c>
      <c r="J22" s="9" t="s">
        <v>1301</v>
      </c>
      <c r="K22" s="7" t="s">
        <v>1222</v>
      </c>
    </row>
    <row r="23" customFormat="false" ht="69.75" hidden="false" customHeight="true" outlineLevel="0" collapsed="false">
      <c r="A23" s="15" t="s">
        <v>226</v>
      </c>
      <c r="B23" s="8" t="n">
        <v>46338</v>
      </c>
      <c r="C23" s="9" t="s">
        <v>227</v>
      </c>
      <c r="D23" s="9" t="s">
        <v>231</v>
      </c>
      <c r="E23" s="9" t="s">
        <v>1302</v>
      </c>
      <c r="F23" s="9" t="s">
        <v>1303</v>
      </c>
      <c r="G23" s="7" t="n">
        <v>1</v>
      </c>
      <c r="H23" s="9" t="s">
        <v>1304</v>
      </c>
      <c r="I23" s="9" t="s">
        <v>230</v>
      </c>
      <c r="J23" s="9" t="s">
        <v>1305</v>
      </c>
      <c r="K23" s="7" t="s">
        <v>1222</v>
      </c>
    </row>
    <row r="24" customFormat="false" ht="44.25" hidden="false" customHeight="true" outlineLevel="0" collapsed="false">
      <c r="A24" s="15" t="s">
        <v>235</v>
      </c>
      <c r="B24" s="8" t="n">
        <v>46340</v>
      </c>
      <c r="C24" s="9" t="s">
        <v>236</v>
      </c>
      <c r="D24" s="9" t="s">
        <v>240</v>
      </c>
      <c r="E24" s="9" t="s">
        <v>1306</v>
      </c>
      <c r="F24" s="9" t="s">
        <v>1307</v>
      </c>
      <c r="G24" s="7" t="n">
        <v>1</v>
      </c>
      <c r="H24" s="9" t="s">
        <v>1308</v>
      </c>
      <c r="I24" s="9" t="s">
        <v>239</v>
      </c>
      <c r="J24" s="9" t="s">
        <v>1309</v>
      </c>
      <c r="K24" s="7" t="s">
        <v>1222</v>
      </c>
    </row>
    <row r="25" customFormat="false" ht="44.25" hidden="false" customHeight="true" outlineLevel="0" collapsed="false">
      <c r="A25" s="15" t="s">
        <v>244</v>
      </c>
      <c r="B25" s="8" t="n">
        <v>46343</v>
      </c>
      <c r="C25" s="9" t="s">
        <v>245</v>
      </c>
      <c r="D25" s="9" t="s">
        <v>249</v>
      </c>
      <c r="E25" s="9" t="s">
        <v>1310</v>
      </c>
      <c r="F25" s="9" t="s">
        <v>1311</v>
      </c>
      <c r="G25" s="7" t="n">
        <v>1</v>
      </c>
      <c r="H25" s="9" t="s">
        <v>1312</v>
      </c>
      <c r="I25" s="9" t="s">
        <v>248</v>
      </c>
      <c r="J25" s="9" t="s">
        <v>1313</v>
      </c>
      <c r="K25" s="7" t="s">
        <v>1222</v>
      </c>
    </row>
    <row r="26" customFormat="false" ht="31.5" hidden="false" customHeight="true" outlineLevel="0" collapsed="false">
      <c r="A26" s="15" t="s">
        <v>252</v>
      </c>
      <c r="B26" s="8" t="n">
        <v>46345</v>
      </c>
      <c r="C26" s="9" t="s">
        <v>253</v>
      </c>
      <c r="D26" s="9" t="s">
        <v>257</v>
      </c>
      <c r="E26" s="9" t="s">
        <v>1314</v>
      </c>
      <c r="F26" s="9" t="s">
        <v>1315</v>
      </c>
      <c r="G26" s="7" t="n">
        <v>1</v>
      </c>
      <c r="H26" s="9" t="s">
        <v>1316</v>
      </c>
      <c r="I26" s="9" t="s">
        <v>256</v>
      </c>
      <c r="J26" s="9" t="s">
        <v>1317</v>
      </c>
      <c r="K26" s="7" t="s">
        <v>1222</v>
      </c>
    </row>
    <row r="27" customFormat="false" ht="31.5" hidden="false" customHeight="true" outlineLevel="0" collapsed="false">
      <c r="A27" s="15" t="s">
        <v>260</v>
      </c>
      <c r="B27" s="8" t="n">
        <v>46347</v>
      </c>
      <c r="C27" s="9" t="s">
        <v>261</v>
      </c>
      <c r="D27" s="9" t="s">
        <v>265</v>
      </c>
      <c r="E27" s="9" t="s">
        <v>1318</v>
      </c>
      <c r="F27" s="9" t="s">
        <v>1319</v>
      </c>
      <c r="G27" s="7" t="n">
        <v>1</v>
      </c>
      <c r="H27" s="9" t="s">
        <v>1320</v>
      </c>
      <c r="I27" s="9" t="s">
        <v>264</v>
      </c>
      <c r="J27" s="9" t="s">
        <v>1321</v>
      </c>
      <c r="K27" s="7" t="s">
        <v>1222</v>
      </c>
    </row>
    <row r="28" customFormat="false" ht="44.25" hidden="false" customHeight="true" outlineLevel="0" collapsed="false">
      <c r="A28" s="15" t="s">
        <v>268</v>
      </c>
      <c r="B28" s="8" t="n">
        <v>46350</v>
      </c>
      <c r="C28" s="9" t="s">
        <v>269</v>
      </c>
      <c r="D28" s="9" t="s">
        <v>273</v>
      </c>
      <c r="E28" s="9" t="s">
        <v>1322</v>
      </c>
      <c r="F28" s="9" t="s">
        <v>1323</v>
      </c>
      <c r="G28" s="7" t="n">
        <v>2</v>
      </c>
      <c r="H28" s="9" t="s">
        <v>1324</v>
      </c>
      <c r="I28" s="9" t="s">
        <v>272</v>
      </c>
      <c r="J28" s="9" t="s">
        <v>1325</v>
      </c>
      <c r="K28" s="7" t="s">
        <v>1222</v>
      </c>
    </row>
    <row r="29" customFormat="false" ht="31.5" hidden="false" customHeight="true" outlineLevel="0" collapsed="false">
      <c r="A29" s="15" t="s">
        <v>277</v>
      </c>
      <c r="B29" s="8" t="n">
        <v>46352</v>
      </c>
      <c r="C29" s="9" t="s">
        <v>278</v>
      </c>
      <c r="D29" s="9" t="s">
        <v>282</v>
      </c>
      <c r="E29" s="9" t="s">
        <v>1326</v>
      </c>
      <c r="F29" s="9" t="s">
        <v>1315</v>
      </c>
      <c r="G29" s="7" t="n">
        <v>1</v>
      </c>
      <c r="H29" s="9" t="s">
        <v>1327</v>
      </c>
      <c r="I29" s="9" t="s">
        <v>281</v>
      </c>
      <c r="J29" s="9" t="s">
        <v>1328</v>
      </c>
      <c r="K29" s="7" t="s">
        <v>1222</v>
      </c>
    </row>
    <row r="30" customFormat="false" ht="44.25" hidden="false" customHeight="true" outlineLevel="0" collapsed="false">
      <c r="A30" s="15" t="s">
        <v>286</v>
      </c>
      <c r="B30" s="8" t="n">
        <v>46354</v>
      </c>
      <c r="C30" s="9" t="s">
        <v>287</v>
      </c>
      <c r="D30" s="9" t="s">
        <v>291</v>
      </c>
      <c r="E30" s="9" t="s">
        <v>1329</v>
      </c>
      <c r="F30" s="9" t="s">
        <v>1330</v>
      </c>
      <c r="G30" s="7" t="n">
        <v>1</v>
      </c>
      <c r="H30" s="9" t="s">
        <v>1331</v>
      </c>
      <c r="I30" s="9" t="s">
        <v>290</v>
      </c>
      <c r="J30" s="9" t="s">
        <v>1332</v>
      </c>
      <c r="K30" s="7" t="s">
        <v>1222</v>
      </c>
    </row>
    <row r="31" customFormat="false" ht="31.5" hidden="false" customHeight="true" outlineLevel="0" collapsed="false">
      <c r="A31" s="15" t="s">
        <v>295</v>
      </c>
      <c r="B31" s="8" t="n">
        <v>46357</v>
      </c>
      <c r="C31" s="9" t="s">
        <v>297</v>
      </c>
      <c r="D31" s="9" t="s">
        <v>301</v>
      </c>
      <c r="E31" s="9" t="s">
        <v>1333</v>
      </c>
      <c r="F31" s="9" t="s">
        <v>1248</v>
      </c>
      <c r="G31" s="7" t="n">
        <v>1</v>
      </c>
      <c r="H31" s="9" t="s">
        <v>1334</v>
      </c>
      <c r="I31" s="9" t="s">
        <v>300</v>
      </c>
      <c r="J31" s="9" t="s">
        <v>1335</v>
      </c>
      <c r="K31" s="7" t="s">
        <v>1222</v>
      </c>
    </row>
    <row r="32" customFormat="false" ht="31.5" hidden="false" customHeight="true" outlineLevel="0" collapsed="false">
      <c r="A32" s="15" t="s">
        <v>305</v>
      </c>
      <c r="B32" s="8" t="n">
        <v>46359</v>
      </c>
      <c r="C32" s="9" t="s">
        <v>306</v>
      </c>
      <c r="D32" s="9" t="s">
        <v>310</v>
      </c>
      <c r="E32" s="9" t="s">
        <v>1336</v>
      </c>
      <c r="F32" s="9" t="s">
        <v>1337</v>
      </c>
      <c r="G32" s="7" t="n">
        <v>1</v>
      </c>
      <c r="H32" s="9" t="s">
        <v>1338</v>
      </c>
      <c r="I32" s="9" t="s">
        <v>309</v>
      </c>
      <c r="J32" s="9" t="s">
        <v>1339</v>
      </c>
      <c r="K32" s="7" t="s">
        <v>1222</v>
      </c>
    </row>
    <row r="33" customFormat="false" ht="31.5" hidden="false" customHeight="true" outlineLevel="0" collapsed="false">
      <c r="A33" s="15" t="s">
        <v>313</v>
      </c>
      <c r="B33" s="8" t="n">
        <v>46361</v>
      </c>
      <c r="C33" s="9" t="s">
        <v>314</v>
      </c>
      <c r="D33" s="9" t="s">
        <v>318</v>
      </c>
      <c r="E33" s="9" t="s">
        <v>1340</v>
      </c>
      <c r="F33" s="9" t="s">
        <v>1341</v>
      </c>
      <c r="G33" s="7" t="n">
        <v>1</v>
      </c>
      <c r="H33" s="9" t="s">
        <v>1342</v>
      </c>
      <c r="I33" s="9" t="s">
        <v>317</v>
      </c>
      <c r="J33" s="9" t="s">
        <v>1343</v>
      </c>
      <c r="K33" s="7" t="s">
        <v>1222</v>
      </c>
    </row>
    <row r="34" customFormat="false" ht="31.5" hidden="false" customHeight="true" outlineLevel="0" collapsed="false">
      <c r="A34" s="15" t="s">
        <v>321</v>
      </c>
      <c r="B34" s="8" t="n">
        <v>46364</v>
      </c>
      <c r="C34" s="9" t="s">
        <v>322</v>
      </c>
      <c r="D34" s="9" t="s">
        <v>326</v>
      </c>
      <c r="E34" s="9" t="s">
        <v>1344</v>
      </c>
      <c r="F34" s="9" t="s">
        <v>1291</v>
      </c>
      <c r="G34" s="7" t="n">
        <v>2</v>
      </c>
      <c r="H34" s="9" t="s">
        <v>1345</v>
      </c>
      <c r="I34" s="9" t="s">
        <v>325</v>
      </c>
      <c r="J34" s="9" t="s">
        <v>1346</v>
      </c>
      <c r="K34" s="7" t="s">
        <v>1222</v>
      </c>
    </row>
    <row r="35" customFormat="false" ht="31.5" hidden="false" customHeight="true" outlineLevel="0" collapsed="false">
      <c r="A35" s="15" t="s">
        <v>330</v>
      </c>
      <c r="B35" s="8" t="n">
        <v>46366</v>
      </c>
      <c r="C35" s="9" t="s">
        <v>331</v>
      </c>
      <c r="D35" s="9" t="s">
        <v>335</v>
      </c>
      <c r="E35" s="9" t="s">
        <v>1347</v>
      </c>
      <c r="F35" s="9" t="s">
        <v>1348</v>
      </c>
      <c r="G35" s="7" t="n">
        <v>1</v>
      </c>
      <c r="H35" s="9" t="s">
        <v>1349</v>
      </c>
      <c r="I35" s="9" t="s">
        <v>334</v>
      </c>
      <c r="J35" s="9" t="s">
        <v>1350</v>
      </c>
      <c r="K35" s="7" t="s">
        <v>1222</v>
      </c>
    </row>
    <row r="36" customFormat="false" ht="31.5" hidden="false" customHeight="true" outlineLevel="0" collapsed="false">
      <c r="A36" s="15" t="s">
        <v>339</v>
      </c>
      <c r="B36" s="8" t="n">
        <v>46368</v>
      </c>
      <c r="C36" s="9" t="s">
        <v>340</v>
      </c>
      <c r="D36" s="9" t="s">
        <v>344</v>
      </c>
      <c r="E36" s="9" t="s">
        <v>1351</v>
      </c>
      <c r="F36" s="9" t="s">
        <v>1291</v>
      </c>
      <c r="G36" s="7" t="n">
        <v>1</v>
      </c>
      <c r="H36" s="9" t="s">
        <v>1352</v>
      </c>
      <c r="I36" s="9" t="s">
        <v>343</v>
      </c>
      <c r="J36" s="9" t="s">
        <v>1353</v>
      </c>
      <c r="K36" s="7" t="s">
        <v>1222</v>
      </c>
    </row>
    <row r="37" customFormat="false" ht="31.5" hidden="false" customHeight="true" outlineLevel="0" collapsed="false">
      <c r="A37" s="15" t="s">
        <v>347</v>
      </c>
      <c r="B37" s="8" t="n">
        <v>46371</v>
      </c>
      <c r="C37" s="9" t="s">
        <v>348</v>
      </c>
      <c r="D37" s="9" t="s">
        <v>352</v>
      </c>
      <c r="E37" s="9" t="s">
        <v>1354</v>
      </c>
      <c r="F37" s="9" t="s">
        <v>1355</v>
      </c>
      <c r="G37" s="7" t="n">
        <v>1</v>
      </c>
      <c r="H37" s="9" t="s">
        <v>1356</v>
      </c>
      <c r="I37" s="9" t="s">
        <v>351</v>
      </c>
      <c r="J37" s="9" t="s">
        <v>1357</v>
      </c>
      <c r="K37" s="7" t="s">
        <v>1222</v>
      </c>
    </row>
    <row r="38" customFormat="false" ht="31.5" hidden="false" customHeight="true" outlineLevel="0" collapsed="false">
      <c r="A38" s="15" t="s">
        <v>356</v>
      </c>
      <c r="B38" s="8" t="n">
        <v>46373</v>
      </c>
      <c r="C38" s="9" t="s">
        <v>357</v>
      </c>
      <c r="D38" s="9" t="s">
        <v>361</v>
      </c>
      <c r="E38" s="9" t="s">
        <v>1358</v>
      </c>
      <c r="F38" s="9" t="s">
        <v>1315</v>
      </c>
      <c r="G38" s="7" t="n">
        <v>1</v>
      </c>
      <c r="H38" s="9" t="s">
        <v>1359</v>
      </c>
      <c r="I38" s="9" t="s">
        <v>360</v>
      </c>
      <c r="J38" s="9" t="s">
        <v>1360</v>
      </c>
      <c r="K38" s="7" t="s">
        <v>1222</v>
      </c>
    </row>
    <row r="39" customFormat="false" ht="57" hidden="false" customHeight="true" outlineLevel="0" collapsed="false">
      <c r="A39" s="15" t="s">
        <v>365</v>
      </c>
      <c r="B39" s="8" t="n">
        <v>46375</v>
      </c>
      <c r="C39" s="9" t="s">
        <v>366</v>
      </c>
      <c r="D39" s="9" t="s">
        <v>370</v>
      </c>
      <c r="E39" s="9" t="s">
        <v>1361</v>
      </c>
      <c r="F39" s="9" t="s">
        <v>1362</v>
      </c>
      <c r="G39" s="7" t="n">
        <v>2</v>
      </c>
      <c r="H39" s="9" t="s">
        <v>1363</v>
      </c>
      <c r="I39" s="9" t="s">
        <v>369</v>
      </c>
      <c r="J39" s="9" t="s">
        <v>1364</v>
      </c>
      <c r="K39" s="7" t="s">
        <v>1222</v>
      </c>
    </row>
    <row r="40" customFormat="false" ht="57" hidden="false" customHeight="true" outlineLevel="0" collapsed="false">
      <c r="A40" s="15" t="s">
        <v>373</v>
      </c>
      <c r="B40" s="8" t="n">
        <v>46378</v>
      </c>
      <c r="C40" s="9" t="s">
        <v>374</v>
      </c>
      <c r="D40" s="9" t="s">
        <v>378</v>
      </c>
      <c r="E40" s="9" t="s">
        <v>1365</v>
      </c>
      <c r="F40" s="9" t="s">
        <v>1315</v>
      </c>
      <c r="G40" s="7" t="n">
        <v>1</v>
      </c>
      <c r="H40" s="9" t="s">
        <v>1366</v>
      </c>
      <c r="I40" s="9" t="s">
        <v>377</v>
      </c>
      <c r="J40" s="9" t="s">
        <v>1367</v>
      </c>
      <c r="K40" s="7" t="s">
        <v>1222</v>
      </c>
    </row>
    <row r="41" customFormat="false" ht="44.25" hidden="false" customHeight="true" outlineLevel="0" collapsed="false">
      <c r="A41" s="15" t="s">
        <v>382</v>
      </c>
      <c r="B41" s="8" t="n">
        <v>46380</v>
      </c>
      <c r="C41" s="9" t="s">
        <v>383</v>
      </c>
      <c r="D41" s="9" t="s">
        <v>387</v>
      </c>
      <c r="E41" s="9" t="s">
        <v>1368</v>
      </c>
      <c r="F41" s="9" t="s">
        <v>1291</v>
      </c>
      <c r="G41" s="7" t="n">
        <v>1</v>
      </c>
      <c r="H41" s="9" t="s">
        <v>1369</v>
      </c>
      <c r="I41" s="9" t="s">
        <v>386</v>
      </c>
      <c r="J41" s="9" t="s">
        <v>1370</v>
      </c>
      <c r="K41" s="7" t="s">
        <v>1222</v>
      </c>
    </row>
    <row r="42" customFormat="false" ht="44.25" hidden="false" customHeight="true" outlineLevel="0" collapsed="false">
      <c r="A42" s="15" t="s">
        <v>390</v>
      </c>
      <c r="B42" s="8" t="n">
        <v>46382</v>
      </c>
      <c r="C42" s="9" t="s">
        <v>391</v>
      </c>
      <c r="D42" s="9" t="s">
        <v>395</v>
      </c>
      <c r="E42" s="9" t="s">
        <v>1371</v>
      </c>
      <c r="F42" s="9" t="s">
        <v>1330</v>
      </c>
      <c r="G42" s="7" t="n">
        <v>1</v>
      </c>
      <c r="H42" s="9" t="s">
        <v>1372</v>
      </c>
      <c r="I42" s="9" t="s">
        <v>394</v>
      </c>
      <c r="J42" s="9" t="s">
        <v>1373</v>
      </c>
      <c r="K42" s="7" t="s">
        <v>1222</v>
      </c>
    </row>
    <row r="43" customFormat="false" ht="44.25" hidden="false" customHeight="true" outlineLevel="0" collapsed="false">
      <c r="A43" s="15" t="s">
        <v>399</v>
      </c>
      <c r="B43" s="8" t="n">
        <v>46385</v>
      </c>
      <c r="C43" s="9" t="s">
        <v>400</v>
      </c>
      <c r="D43" s="9" t="s">
        <v>404</v>
      </c>
      <c r="E43" s="9" t="s">
        <v>1374</v>
      </c>
      <c r="F43" s="9" t="s">
        <v>1315</v>
      </c>
      <c r="G43" s="7" t="n">
        <v>1</v>
      </c>
      <c r="H43" s="9" t="s">
        <v>1375</v>
      </c>
      <c r="I43" s="9" t="s">
        <v>403</v>
      </c>
      <c r="J43" s="9" t="s">
        <v>1376</v>
      </c>
      <c r="K43" s="7" t="s">
        <v>1222</v>
      </c>
    </row>
    <row r="44" customFormat="false" ht="31.5" hidden="false" customHeight="true" outlineLevel="0" collapsed="false">
      <c r="A44" s="15" t="s">
        <v>408</v>
      </c>
      <c r="B44" s="8" t="n">
        <v>46387</v>
      </c>
      <c r="C44" s="9" t="s">
        <v>409</v>
      </c>
      <c r="D44" s="9" t="s">
        <v>413</v>
      </c>
      <c r="E44" s="9" t="s">
        <v>1377</v>
      </c>
      <c r="F44" s="9" t="s">
        <v>1315</v>
      </c>
      <c r="G44" s="7" t="n">
        <v>1</v>
      </c>
      <c r="H44" s="9" t="s">
        <v>1378</v>
      </c>
      <c r="I44" s="9" t="s">
        <v>412</v>
      </c>
      <c r="J44" s="9" t="s">
        <v>1379</v>
      </c>
      <c r="K44" s="7" t="s">
        <v>1222</v>
      </c>
    </row>
    <row r="45" customFormat="false" ht="31.5" hidden="false" customHeight="true" outlineLevel="0" collapsed="false">
      <c r="A45" s="15" t="s">
        <v>417</v>
      </c>
      <c r="B45" s="8" t="n">
        <v>46389</v>
      </c>
      <c r="C45" s="9" t="s">
        <v>419</v>
      </c>
      <c r="D45" s="9" t="s">
        <v>423</v>
      </c>
      <c r="E45" s="9" t="s">
        <v>1380</v>
      </c>
      <c r="F45" s="9" t="s">
        <v>1381</v>
      </c>
      <c r="G45" s="7" t="n">
        <v>1</v>
      </c>
      <c r="H45" s="9" t="s">
        <v>1382</v>
      </c>
      <c r="I45" s="9" t="s">
        <v>422</v>
      </c>
      <c r="J45" s="9" t="s">
        <v>1383</v>
      </c>
      <c r="K45" s="7" t="s">
        <v>1222</v>
      </c>
    </row>
    <row r="46" customFormat="false" ht="44.25" hidden="false" customHeight="true" outlineLevel="0" collapsed="false">
      <c r="A46" s="15" t="s">
        <v>426</v>
      </c>
      <c r="B46" s="8" t="n">
        <v>46392</v>
      </c>
      <c r="C46" s="9" t="s">
        <v>427</v>
      </c>
      <c r="D46" s="9" t="s">
        <v>431</v>
      </c>
      <c r="E46" s="9" t="s">
        <v>1384</v>
      </c>
      <c r="F46" s="9" t="s">
        <v>1385</v>
      </c>
      <c r="G46" s="7" t="n">
        <v>2</v>
      </c>
      <c r="H46" s="9" t="s">
        <v>1386</v>
      </c>
      <c r="I46" s="9" t="s">
        <v>430</v>
      </c>
      <c r="J46" s="9" t="s">
        <v>1387</v>
      </c>
      <c r="K46" s="7" t="s">
        <v>1222</v>
      </c>
    </row>
    <row r="47" customFormat="false" ht="31.5" hidden="false" customHeight="true" outlineLevel="0" collapsed="false">
      <c r="A47" s="15" t="s">
        <v>434</v>
      </c>
      <c r="B47" s="8" t="n">
        <v>46394</v>
      </c>
      <c r="C47" s="9" t="s">
        <v>435</v>
      </c>
      <c r="D47" s="9" t="s">
        <v>439</v>
      </c>
      <c r="E47" s="9" t="s">
        <v>1388</v>
      </c>
      <c r="F47" s="9" t="s">
        <v>1389</v>
      </c>
      <c r="G47" s="7" t="n">
        <v>1</v>
      </c>
      <c r="H47" s="9" t="s">
        <v>1390</v>
      </c>
      <c r="I47" s="9" t="s">
        <v>438</v>
      </c>
      <c r="J47" s="9" t="s">
        <v>1391</v>
      </c>
      <c r="K47" s="7" t="s">
        <v>1222</v>
      </c>
    </row>
    <row r="48" customFormat="false" ht="44.25" hidden="false" customHeight="true" outlineLevel="0" collapsed="false">
      <c r="A48" s="15" t="s">
        <v>443</v>
      </c>
      <c r="B48" s="8" t="n">
        <v>46396</v>
      </c>
      <c r="C48" s="9" t="s">
        <v>444</v>
      </c>
      <c r="D48" s="9" t="s">
        <v>448</v>
      </c>
      <c r="E48" s="9" t="s">
        <v>1392</v>
      </c>
      <c r="F48" s="9" t="s">
        <v>1393</v>
      </c>
      <c r="G48" s="7" t="n">
        <v>2</v>
      </c>
      <c r="H48" s="9" t="s">
        <v>1394</v>
      </c>
      <c r="I48" s="9" t="s">
        <v>447</v>
      </c>
      <c r="J48" s="9" t="s">
        <v>1395</v>
      </c>
      <c r="K48" s="7" t="s">
        <v>1222</v>
      </c>
    </row>
    <row r="49" customFormat="false" ht="44.25" hidden="false" customHeight="true" outlineLevel="0" collapsed="false">
      <c r="A49" s="15" t="s">
        <v>452</v>
      </c>
      <c r="B49" s="8" t="n">
        <v>46399</v>
      </c>
      <c r="C49" s="9" t="s">
        <v>453</v>
      </c>
      <c r="D49" s="9" t="s">
        <v>457</v>
      </c>
      <c r="E49" s="9" t="s">
        <v>1396</v>
      </c>
      <c r="F49" s="9" t="s">
        <v>1315</v>
      </c>
      <c r="G49" s="7" t="n">
        <v>1</v>
      </c>
      <c r="H49" s="9" t="s">
        <v>1397</v>
      </c>
      <c r="I49" s="9" t="s">
        <v>456</v>
      </c>
      <c r="J49" s="9" t="s">
        <v>1398</v>
      </c>
      <c r="K49" s="7" t="s">
        <v>1222</v>
      </c>
    </row>
    <row r="50" customFormat="false" ht="31.5" hidden="false" customHeight="true" outlineLevel="0" collapsed="false">
      <c r="A50" s="15" t="s">
        <v>460</v>
      </c>
      <c r="B50" s="8" t="n">
        <v>46401</v>
      </c>
      <c r="C50" s="9" t="s">
        <v>461</v>
      </c>
      <c r="D50" s="9" t="s">
        <v>465</v>
      </c>
      <c r="E50" s="9" t="s">
        <v>1399</v>
      </c>
      <c r="F50" s="9" t="s">
        <v>1400</v>
      </c>
      <c r="G50" s="7" t="n">
        <v>1</v>
      </c>
      <c r="H50" s="9" t="s">
        <v>1401</v>
      </c>
      <c r="I50" s="9" t="s">
        <v>464</v>
      </c>
      <c r="J50" s="9" t="s">
        <v>1402</v>
      </c>
      <c r="K50" s="7" t="s">
        <v>1222</v>
      </c>
    </row>
    <row r="51" customFormat="false" ht="31.5" hidden="false" customHeight="true" outlineLevel="0" collapsed="false">
      <c r="A51" s="15" t="s">
        <v>468</v>
      </c>
      <c r="B51" s="8" t="n">
        <v>46403</v>
      </c>
      <c r="C51" s="9" t="s">
        <v>469</v>
      </c>
      <c r="D51" s="9" t="s">
        <v>473</v>
      </c>
      <c r="E51" s="9" t="s">
        <v>1403</v>
      </c>
      <c r="F51" s="9" t="s">
        <v>1404</v>
      </c>
      <c r="G51" s="7" t="n">
        <v>1</v>
      </c>
      <c r="H51" s="9" t="s">
        <v>1405</v>
      </c>
      <c r="I51" s="9" t="s">
        <v>472</v>
      </c>
      <c r="J51" s="9" t="s">
        <v>1406</v>
      </c>
      <c r="K51" s="7" t="s">
        <v>1222</v>
      </c>
    </row>
    <row r="52" customFormat="false" ht="44.25" hidden="false" customHeight="true" outlineLevel="0" collapsed="false">
      <c r="A52" s="15" t="s">
        <v>476</v>
      </c>
      <c r="B52" s="8" t="n">
        <v>46406</v>
      </c>
      <c r="C52" s="9" t="s">
        <v>477</v>
      </c>
      <c r="D52" s="9" t="s">
        <v>481</v>
      </c>
      <c r="E52" s="9" t="s">
        <v>1407</v>
      </c>
      <c r="F52" s="9" t="s">
        <v>1408</v>
      </c>
      <c r="G52" s="7" t="n">
        <v>1</v>
      </c>
      <c r="H52" s="9" t="s">
        <v>1409</v>
      </c>
      <c r="I52" s="9" t="s">
        <v>480</v>
      </c>
      <c r="J52" s="9" t="s">
        <v>1410</v>
      </c>
      <c r="K52" s="7" t="s">
        <v>1222</v>
      </c>
    </row>
    <row r="53" customFormat="false" ht="31.5" hidden="false" customHeight="true" outlineLevel="0" collapsed="false">
      <c r="A53" s="15" t="s">
        <v>485</v>
      </c>
      <c r="B53" s="8" t="n">
        <v>46408</v>
      </c>
      <c r="C53" s="9" t="s">
        <v>486</v>
      </c>
      <c r="D53" s="9" t="s">
        <v>490</v>
      </c>
      <c r="E53" s="9" t="s">
        <v>1411</v>
      </c>
      <c r="F53" s="9" t="s">
        <v>1400</v>
      </c>
      <c r="G53" s="7" t="n">
        <v>1</v>
      </c>
      <c r="H53" s="9" t="s">
        <v>1412</v>
      </c>
      <c r="I53" s="9" t="s">
        <v>489</v>
      </c>
      <c r="J53" s="9" t="s">
        <v>1413</v>
      </c>
      <c r="K53" s="7" t="s">
        <v>1222</v>
      </c>
    </row>
    <row r="54" customFormat="false" ht="31.5" hidden="false" customHeight="true" outlineLevel="0" collapsed="false">
      <c r="A54" s="15" t="s">
        <v>494</v>
      </c>
      <c r="B54" s="8" t="n">
        <v>46410</v>
      </c>
      <c r="C54" s="9" t="s">
        <v>495</v>
      </c>
      <c r="D54" s="9" t="s">
        <v>499</v>
      </c>
      <c r="E54" s="9" t="s">
        <v>1414</v>
      </c>
      <c r="F54" s="9" t="s">
        <v>1272</v>
      </c>
      <c r="G54" s="7" t="n">
        <v>1</v>
      </c>
      <c r="H54" s="9" t="s">
        <v>1415</v>
      </c>
      <c r="I54" s="9" t="s">
        <v>498</v>
      </c>
      <c r="J54" s="9" t="s">
        <v>1416</v>
      </c>
      <c r="K54" s="7" t="s">
        <v>1222</v>
      </c>
    </row>
    <row r="55" customFormat="false" ht="31.5" hidden="false" customHeight="true" outlineLevel="0" collapsed="false">
      <c r="A55" s="15" t="s">
        <v>502</v>
      </c>
      <c r="B55" s="8" t="n">
        <v>46413</v>
      </c>
      <c r="C55" s="9" t="s">
        <v>503</v>
      </c>
      <c r="D55" s="9" t="s">
        <v>507</v>
      </c>
      <c r="E55" s="9" t="s">
        <v>1417</v>
      </c>
      <c r="F55" s="9" t="s">
        <v>1315</v>
      </c>
      <c r="G55" s="7" t="n">
        <v>1</v>
      </c>
      <c r="H55" s="9" t="s">
        <v>1418</v>
      </c>
      <c r="I55" s="9" t="s">
        <v>506</v>
      </c>
      <c r="J55" s="9" t="s">
        <v>1419</v>
      </c>
      <c r="K55" s="7" t="s">
        <v>1222</v>
      </c>
    </row>
    <row r="56" customFormat="false" ht="31.5" hidden="false" customHeight="true" outlineLevel="0" collapsed="false">
      <c r="A56" s="15" t="s">
        <v>510</v>
      </c>
      <c r="B56" s="8" t="n">
        <v>46415</v>
      </c>
      <c r="C56" s="9" t="s">
        <v>511</v>
      </c>
      <c r="D56" s="9" t="s">
        <v>515</v>
      </c>
      <c r="E56" s="9" t="s">
        <v>1420</v>
      </c>
      <c r="F56" s="9" t="s">
        <v>1389</v>
      </c>
      <c r="G56" s="7" t="n">
        <v>1</v>
      </c>
      <c r="H56" s="9" t="s">
        <v>1421</v>
      </c>
      <c r="I56" s="9" t="s">
        <v>514</v>
      </c>
      <c r="J56" s="9" t="s">
        <v>1422</v>
      </c>
      <c r="K56" s="7" t="s">
        <v>1222</v>
      </c>
    </row>
    <row r="57" customFormat="false" ht="31.5" hidden="false" customHeight="true" outlineLevel="0" collapsed="false">
      <c r="A57" s="15" t="s">
        <v>519</v>
      </c>
      <c r="B57" s="8" t="n">
        <v>46417</v>
      </c>
      <c r="C57" s="9" t="s">
        <v>520</v>
      </c>
      <c r="D57" s="9" t="s">
        <v>524</v>
      </c>
      <c r="E57" s="9" t="s">
        <v>1423</v>
      </c>
      <c r="F57" s="9" t="s">
        <v>1315</v>
      </c>
      <c r="G57" s="7" t="n">
        <v>1</v>
      </c>
      <c r="H57" s="9" t="s">
        <v>1424</v>
      </c>
      <c r="I57" s="9" t="s">
        <v>523</v>
      </c>
      <c r="J57" s="9" t="s">
        <v>1425</v>
      </c>
      <c r="K57" s="7" t="s">
        <v>1222</v>
      </c>
    </row>
    <row r="58" customFormat="false" ht="31.5" hidden="false" customHeight="true" outlineLevel="0" collapsed="false">
      <c r="A58" s="16" t="s">
        <v>528</v>
      </c>
      <c r="B58" s="12"/>
      <c r="C58" s="13" t="s">
        <v>530</v>
      </c>
      <c r="D58" s="13" t="s">
        <v>535</v>
      </c>
      <c r="E58" s="13" t="s">
        <v>1426</v>
      </c>
      <c r="F58" s="13" t="s">
        <v>1272</v>
      </c>
      <c r="G58" s="11" t="n">
        <v>1</v>
      </c>
      <c r="H58" s="13" t="s">
        <v>1427</v>
      </c>
      <c r="I58" s="13" t="s">
        <v>534</v>
      </c>
      <c r="J58" s="13" t="s">
        <v>1428</v>
      </c>
      <c r="K58" s="11" t="s">
        <v>1222</v>
      </c>
    </row>
    <row r="59" customFormat="false" ht="31.5" hidden="false" customHeight="true" outlineLevel="0" collapsed="false">
      <c r="A59" s="16" t="s">
        <v>538</v>
      </c>
      <c r="B59" s="12"/>
      <c r="C59" s="13" t="s">
        <v>539</v>
      </c>
      <c r="D59" s="13" t="s">
        <v>543</v>
      </c>
      <c r="E59" s="13" t="s">
        <v>1429</v>
      </c>
      <c r="F59" s="13" t="s">
        <v>1430</v>
      </c>
      <c r="G59" s="11" t="n">
        <v>2</v>
      </c>
      <c r="H59" s="13" t="s">
        <v>1431</v>
      </c>
      <c r="I59" s="13" t="s">
        <v>542</v>
      </c>
      <c r="J59" s="13" t="s">
        <v>1432</v>
      </c>
      <c r="K59" s="11" t="s">
        <v>1222</v>
      </c>
    </row>
  </sheetData>
  <autoFilter ref="A1:K59"/>
  <dataValidations count="1">
    <dataValidation allowBlank="false" errorStyle="stop" operator="between" showDropDown="false" showErrorMessage="false" showInputMessage="false" sqref="K2:K59" type="list">
      <formula1>"Pendiente,En diseño,En revisión,Listo,Publicado"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6"/>
    <col collapsed="false" customWidth="true" hidden="false" outlineLevel="0" max="4" min="4" style="0" width="10"/>
    <col collapsed="false" customWidth="true" hidden="false" outlineLevel="0" max="5" min="5" style="0" width="46"/>
    <col collapsed="false" customWidth="true" hidden="false" outlineLevel="0" max="6" min="6" style="0" width="34"/>
    <col collapsed="false" customWidth="true" hidden="false" outlineLevel="0" max="7" min="7" style="0" width="26"/>
    <col collapsed="false" customWidth="true" hidden="false" outlineLevel="0" max="8" min="8" style="0" width="40"/>
    <col collapsed="false" customWidth="true" hidden="false" outlineLevel="0" max="10" min="9" style="0" width="12"/>
  </cols>
  <sheetData>
    <row r="1" customFormat="false" ht="33.75" hidden="false" customHeight="true" outlineLevel="0" collapsed="false">
      <c r="A1" s="1" t="s">
        <v>1433</v>
      </c>
      <c r="B1" s="1" t="s">
        <v>1434</v>
      </c>
      <c r="C1" s="1" t="s">
        <v>1435</v>
      </c>
      <c r="D1" s="1" t="s">
        <v>1436</v>
      </c>
      <c r="E1" s="1" t="s">
        <v>1437</v>
      </c>
      <c r="F1" s="1" t="s">
        <v>1438</v>
      </c>
      <c r="G1" s="1" t="s">
        <v>6</v>
      </c>
      <c r="H1" s="1" t="s">
        <v>1439</v>
      </c>
      <c r="I1" s="1" t="s">
        <v>2</v>
      </c>
      <c r="J1" s="1" t="s">
        <v>15</v>
      </c>
    </row>
    <row r="2" customFormat="false" ht="31.5" hidden="false" customHeight="true" outlineLevel="0" collapsed="false">
      <c r="A2" s="15" t="s">
        <v>1440</v>
      </c>
      <c r="B2" s="7" t="s">
        <v>18</v>
      </c>
      <c r="C2" s="9" t="s">
        <v>568</v>
      </c>
      <c r="D2" s="7" t="s">
        <v>34</v>
      </c>
      <c r="E2" s="9" t="s">
        <v>584</v>
      </c>
      <c r="F2" s="9" t="s">
        <v>37</v>
      </c>
      <c r="G2" s="7" t="s">
        <v>1441</v>
      </c>
      <c r="H2" s="9" t="s">
        <v>1442</v>
      </c>
      <c r="I2" s="8" t="n">
        <v>46304</v>
      </c>
      <c r="J2" s="7" t="s">
        <v>1222</v>
      </c>
    </row>
    <row r="3" customFormat="false" ht="31.5" hidden="false" customHeight="true" outlineLevel="0" collapsed="false">
      <c r="A3" s="15" t="s">
        <v>1443</v>
      </c>
      <c r="B3" s="7" t="s">
        <v>34</v>
      </c>
      <c r="C3" s="9" t="s">
        <v>584</v>
      </c>
      <c r="D3" s="7" t="s">
        <v>18</v>
      </c>
      <c r="E3" s="9" t="s">
        <v>568</v>
      </c>
      <c r="F3" s="9" t="s">
        <v>24</v>
      </c>
      <c r="G3" s="7" t="s">
        <v>1441</v>
      </c>
      <c r="H3" s="9" t="s">
        <v>1442</v>
      </c>
      <c r="I3" s="8" t="n">
        <v>46304</v>
      </c>
      <c r="J3" s="7" t="s">
        <v>1222</v>
      </c>
    </row>
    <row r="4" customFormat="false" ht="31.5" hidden="false" customHeight="true" outlineLevel="0" collapsed="false">
      <c r="A4" s="15" t="s">
        <v>1444</v>
      </c>
      <c r="B4" s="7" t="s">
        <v>18</v>
      </c>
      <c r="C4" s="9" t="s">
        <v>568</v>
      </c>
      <c r="D4" s="7" t="s">
        <v>43</v>
      </c>
      <c r="E4" s="9" t="s">
        <v>596</v>
      </c>
      <c r="F4" s="9" t="s">
        <v>46</v>
      </c>
      <c r="G4" s="7" t="s">
        <v>1441</v>
      </c>
      <c r="H4" s="9" t="s">
        <v>1442</v>
      </c>
      <c r="I4" s="8" t="n">
        <v>46304</v>
      </c>
      <c r="J4" s="7" t="s">
        <v>1222</v>
      </c>
    </row>
    <row r="5" customFormat="false" ht="31.5" hidden="false" customHeight="true" outlineLevel="0" collapsed="false">
      <c r="A5" s="15" t="s">
        <v>1445</v>
      </c>
      <c r="B5" s="7" t="s">
        <v>34</v>
      </c>
      <c r="C5" s="9" t="s">
        <v>584</v>
      </c>
      <c r="D5" s="7" t="s">
        <v>43</v>
      </c>
      <c r="E5" s="9" t="s">
        <v>596</v>
      </c>
      <c r="F5" s="9" t="s">
        <v>46</v>
      </c>
      <c r="G5" s="7" t="s">
        <v>1441</v>
      </c>
      <c r="H5" s="9" t="s">
        <v>1442</v>
      </c>
      <c r="I5" s="8" t="n">
        <v>46304</v>
      </c>
      <c r="J5" s="7" t="s">
        <v>1222</v>
      </c>
    </row>
    <row r="6" customFormat="false" ht="31.5" hidden="false" customHeight="true" outlineLevel="0" collapsed="false">
      <c r="A6" s="15" t="s">
        <v>1446</v>
      </c>
      <c r="B6" s="7" t="s">
        <v>43</v>
      </c>
      <c r="C6" s="9" t="s">
        <v>596</v>
      </c>
      <c r="D6" s="7" t="s">
        <v>18</v>
      </c>
      <c r="E6" s="9" t="s">
        <v>568</v>
      </c>
      <c r="F6" s="9" t="s">
        <v>24</v>
      </c>
      <c r="G6" s="7" t="s">
        <v>1441</v>
      </c>
      <c r="H6" s="9" t="s">
        <v>1442</v>
      </c>
      <c r="I6" s="8" t="n">
        <v>46304</v>
      </c>
      <c r="J6" s="7" t="s">
        <v>1222</v>
      </c>
    </row>
    <row r="7" customFormat="false" ht="31.5" hidden="false" customHeight="true" outlineLevel="0" collapsed="false">
      <c r="A7" s="15" t="s">
        <v>1447</v>
      </c>
      <c r="B7" s="7" t="s">
        <v>43</v>
      </c>
      <c r="C7" s="9" t="s">
        <v>596</v>
      </c>
      <c r="D7" s="7" t="s">
        <v>34</v>
      </c>
      <c r="E7" s="9" t="s">
        <v>584</v>
      </c>
      <c r="F7" s="9" t="s">
        <v>37</v>
      </c>
      <c r="G7" s="7" t="s">
        <v>1441</v>
      </c>
      <c r="H7" s="9" t="s">
        <v>1442</v>
      </c>
      <c r="I7" s="8" t="n">
        <v>46304</v>
      </c>
      <c r="J7" s="7" t="s">
        <v>1222</v>
      </c>
    </row>
    <row r="8" customFormat="false" ht="31.5" hidden="false" customHeight="true" outlineLevel="0" collapsed="false">
      <c r="A8" s="15" t="s">
        <v>1448</v>
      </c>
      <c r="B8" s="7" t="s">
        <v>18</v>
      </c>
      <c r="C8" s="9" t="s">
        <v>568</v>
      </c>
      <c r="D8" s="7" t="s">
        <v>63</v>
      </c>
      <c r="E8" s="9" t="s">
        <v>620</v>
      </c>
      <c r="F8" s="9" t="s">
        <v>66</v>
      </c>
      <c r="G8" s="7" t="s">
        <v>1441</v>
      </c>
      <c r="H8" s="9" t="s">
        <v>1442</v>
      </c>
      <c r="I8" s="8" t="n">
        <v>46304</v>
      </c>
      <c r="J8" s="7" t="s">
        <v>1222</v>
      </c>
    </row>
    <row r="9" customFormat="false" ht="31.5" hidden="false" customHeight="true" outlineLevel="0" collapsed="false">
      <c r="A9" s="15" t="s">
        <v>1449</v>
      </c>
      <c r="B9" s="7" t="s">
        <v>63</v>
      </c>
      <c r="C9" s="9" t="s">
        <v>620</v>
      </c>
      <c r="D9" s="7" t="s">
        <v>18</v>
      </c>
      <c r="E9" s="9" t="s">
        <v>568</v>
      </c>
      <c r="F9" s="9" t="s">
        <v>24</v>
      </c>
      <c r="G9" s="7" t="s">
        <v>1441</v>
      </c>
      <c r="H9" s="9" t="s">
        <v>1442</v>
      </c>
      <c r="I9" s="8" t="n">
        <v>46304</v>
      </c>
      <c r="J9" s="7" t="s">
        <v>1222</v>
      </c>
    </row>
    <row r="10" customFormat="false" ht="31.5" hidden="false" customHeight="true" outlineLevel="0" collapsed="false">
      <c r="A10" s="15" t="s">
        <v>1450</v>
      </c>
      <c r="B10" s="7" t="s">
        <v>53</v>
      </c>
      <c r="C10" s="9" t="s">
        <v>608</v>
      </c>
      <c r="D10" s="7" t="s">
        <v>83</v>
      </c>
      <c r="E10" s="9" t="s">
        <v>642</v>
      </c>
      <c r="F10" s="9" t="s">
        <v>85</v>
      </c>
      <c r="G10" s="7" t="s">
        <v>1451</v>
      </c>
      <c r="H10" s="9" t="s">
        <v>1442</v>
      </c>
      <c r="I10" s="8" t="n">
        <v>46304</v>
      </c>
      <c r="J10" s="7" t="s">
        <v>1222</v>
      </c>
    </row>
    <row r="11" customFormat="false" ht="31.5" hidden="false" customHeight="true" outlineLevel="0" collapsed="false">
      <c r="A11" s="15" t="s">
        <v>1452</v>
      </c>
      <c r="B11" s="7" t="s">
        <v>83</v>
      </c>
      <c r="C11" s="9" t="s">
        <v>642</v>
      </c>
      <c r="D11" s="7" t="s">
        <v>53</v>
      </c>
      <c r="E11" s="9" t="s">
        <v>608</v>
      </c>
      <c r="F11" s="9" t="s">
        <v>56</v>
      </c>
      <c r="G11" s="7" t="s">
        <v>1451</v>
      </c>
      <c r="H11" s="9" t="s">
        <v>1442</v>
      </c>
      <c r="I11" s="8" t="n">
        <v>46304</v>
      </c>
      <c r="J11" s="7" t="s">
        <v>1222</v>
      </c>
    </row>
    <row r="12" customFormat="false" ht="31.5" hidden="false" customHeight="true" outlineLevel="0" collapsed="false">
      <c r="A12" s="15" t="s">
        <v>1453</v>
      </c>
      <c r="B12" s="7" t="s">
        <v>18</v>
      </c>
      <c r="C12" s="9" t="s">
        <v>568</v>
      </c>
      <c r="D12" s="7" t="s">
        <v>92</v>
      </c>
      <c r="E12" s="9" t="s">
        <v>653</v>
      </c>
      <c r="F12" s="9" t="s">
        <v>94</v>
      </c>
      <c r="G12" s="7" t="s">
        <v>1441</v>
      </c>
      <c r="H12" s="9" t="s">
        <v>1442</v>
      </c>
      <c r="I12" s="8" t="n">
        <v>46304</v>
      </c>
      <c r="J12" s="7" t="s">
        <v>1222</v>
      </c>
    </row>
    <row r="13" customFormat="false" ht="31.5" hidden="false" customHeight="true" outlineLevel="0" collapsed="false">
      <c r="A13" s="15" t="s">
        <v>1454</v>
      </c>
      <c r="B13" s="7" t="s">
        <v>73</v>
      </c>
      <c r="C13" s="9" t="s">
        <v>631</v>
      </c>
      <c r="D13" s="7" t="s">
        <v>92</v>
      </c>
      <c r="E13" s="9" t="s">
        <v>653</v>
      </c>
      <c r="F13" s="9" t="s">
        <v>94</v>
      </c>
      <c r="G13" s="7" t="s">
        <v>1451</v>
      </c>
      <c r="H13" s="9" t="s">
        <v>1442</v>
      </c>
      <c r="I13" s="8" t="n">
        <v>46304</v>
      </c>
      <c r="J13" s="7" t="s">
        <v>1222</v>
      </c>
    </row>
    <row r="14" customFormat="false" ht="31.5" hidden="false" customHeight="true" outlineLevel="0" collapsed="false">
      <c r="A14" s="15" t="s">
        <v>1455</v>
      </c>
      <c r="B14" s="7" t="s">
        <v>92</v>
      </c>
      <c r="C14" s="9" t="s">
        <v>653</v>
      </c>
      <c r="D14" s="7" t="s">
        <v>18</v>
      </c>
      <c r="E14" s="9" t="s">
        <v>568</v>
      </c>
      <c r="F14" s="9" t="s">
        <v>24</v>
      </c>
      <c r="G14" s="7" t="s">
        <v>1441</v>
      </c>
      <c r="H14" s="9" t="s">
        <v>1442</v>
      </c>
      <c r="I14" s="8" t="n">
        <v>46304</v>
      </c>
      <c r="J14" s="7" t="s">
        <v>1222</v>
      </c>
    </row>
    <row r="15" customFormat="false" ht="31.5" hidden="false" customHeight="true" outlineLevel="0" collapsed="false">
      <c r="A15" s="15" t="s">
        <v>1456</v>
      </c>
      <c r="B15" s="7" t="s">
        <v>92</v>
      </c>
      <c r="C15" s="9" t="s">
        <v>653</v>
      </c>
      <c r="D15" s="7" t="s">
        <v>73</v>
      </c>
      <c r="E15" s="9" t="s">
        <v>631</v>
      </c>
      <c r="F15" s="9" t="s">
        <v>76</v>
      </c>
      <c r="G15" s="7" t="s">
        <v>1451</v>
      </c>
      <c r="H15" s="9" t="s">
        <v>1442</v>
      </c>
      <c r="I15" s="8" t="n">
        <v>46304</v>
      </c>
      <c r="J15" s="7" t="s">
        <v>1222</v>
      </c>
    </row>
    <row r="16" customFormat="false" ht="31.5" hidden="false" customHeight="true" outlineLevel="0" collapsed="false">
      <c r="A16" s="15" t="s">
        <v>1457</v>
      </c>
      <c r="B16" s="7" t="s">
        <v>34</v>
      </c>
      <c r="C16" s="9" t="s">
        <v>584</v>
      </c>
      <c r="D16" s="7" t="s">
        <v>101</v>
      </c>
      <c r="E16" s="9" t="s">
        <v>664</v>
      </c>
      <c r="F16" s="9" t="s">
        <v>107</v>
      </c>
      <c r="G16" s="7" t="s">
        <v>1441</v>
      </c>
      <c r="H16" s="9" t="s">
        <v>1458</v>
      </c>
      <c r="I16" s="8" t="n">
        <v>46308</v>
      </c>
      <c r="J16" s="7" t="s">
        <v>1222</v>
      </c>
    </row>
    <row r="17" customFormat="false" ht="31.5" hidden="false" customHeight="true" outlineLevel="0" collapsed="false">
      <c r="A17" s="15" t="s">
        <v>1459</v>
      </c>
      <c r="B17" s="7" t="s">
        <v>43</v>
      </c>
      <c r="C17" s="9" t="s">
        <v>596</v>
      </c>
      <c r="D17" s="7" t="s">
        <v>101</v>
      </c>
      <c r="E17" s="9" t="s">
        <v>664</v>
      </c>
      <c r="F17" s="9" t="s">
        <v>107</v>
      </c>
      <c r="G17" s="7" t="s">
        <v>1451</v>
      </c>
      <c r="H17" s="9" t="s">
        <v>1460</v>
      </c>
      <c r="I17" s="8" t="n">
        <v>46308</v>
      </c>
      <c r="J17" s="7" t="s">
        <v>1222</v>
      </c>
    </row>
    <row r="18" customFormat="false" ht="31.5" hidden="false" customHeight="true" outlineLevel="0" collapsed="false">
      <c r="A18" s="15" t="s">
        <v>1461</v>
      </c>
      <c r="B18" s="7" t="s">
        <v>101</v>
      </c>
      <c r="C18" s="9" t="s">
        <v>664</v>
      </c>
      <c r="D18" s="7" t="s">
        <v>34</v>
      </c>
      <c r="E18" s="9" t="s">
        <v>584</v>
      </c>
      <c r="F18" s="9" t="s">
        <v>37</v>
      </c>
      <c r="G18" s="7" t="s">
        <v>1441</v>
      </c>
      <c r="H18" s="9" t="s">
        <v>1462</v>
      </c>
      <c r="I18" s="8" t="n">
        <v>46308</v>
      </c>
      <c r="J18" s="7" t="s">
        <v>1222</v>
      </c>
    </row>
    <row r="19" customFormat="false" ht="31.5" hidden="false" customHeight="true" outlineLevel="0" collapsed="false">
      <c r="A19" s="15" t="s">
        <v>1463</v>
      </c>
      <c r="B19" s="7" t="s">
        <v>101</v>
      </c>
      <c r="C19" s="9" t="s">
        <v>664</v>
      </c>
      <c r="D19" s="7" t="s">
        <v>43</v>
      </c>
      <c r="E19" s="9" t="s">
        <v>596</v>
      </c>
      <c r="F19" s="9" t="s">
        <v>46</v>
      </c>
      <c r="G19" s="7" t="s">
        <v>1451</v>
      </c>
      <c r="H19" s="9" t="s">
        <v>1462</v>
      </c>
      <c r="I19" s="8" t="n">
        <v>46308</v>
      </c>
      <c r="J19" s="7" t="s">
        <v>1222</v>
      </c>
    </row>
    <row r="20" customFormat="false" ht="31.5" hidden="false" customHeight="true" outlineLevel="0" collapsed="false">
      <c r="A20" s="15" t="s">
        <v>1464</v>
      </c>
      <c r="B20" s="7" t="s">
        <v>18</v>
      </c>
      <c r="C20" s="9" t="s">
        <v>568</v>
      </c>
      <c r="D20" s="7" t="s">
        <v>114</v>
      </c>
      <c r="E20" s="9" t="s">
        <v>677</v>
      </c>
      <c r="F20" s="9" t="s">
        <v>119</v>
      </c>
      <c r="G20" s="7" t="s">
        <v>1451</v>
      </c>
      <c r="H20" s="9" t="s">
        <v>1465</v>
      </c>
      <c r="I20" s="8" t="n">
        <v>46310</v>
      </c>
      <c r="J20" s="7" t="s">
        <v>1222</v>
      </c>
    </row>
    <row r="21" customFormat="false" ht="31.5" hidden="false" customHeight="true" outlineLevel="0" collapsed="false">
      <c r="A21" s="15" t="s">
        <v>1466</v>
      </c>
      <c r="B21" s="7" t="s">
        <v>34</v>
      </c>
      <c r="C21" s="9" t="s">
        <v>584</v>
      </c>
      <c r="D21" s="7" t="s">
        <v>114</v>
      </c>
      <c r="E21" s="9" t="s">
        <v>677</v>
      </c>
      <c r="F21" s="9" t="s">
        <v>119</v>
      </c>
      <c r="G21" s="7" t="s">
        <v>1441</v>
      </c>
      <c r="H21" s="9" t="s">
        <v>1467</v>
      </c>
      <c r="I21" s="8" t="n">
        <v>46310</v>
      </c>
      <c r="J21" s="7" t="s">
        <v>1222</v>
      </c>
    </row>
    <row r="22" customFormat="false" ht="31.5" hidden="false" customHeight="true" outlineLevel="0" collapsed="false">
      <c r="A22" s="15" t="s">
        <v>1468</v>
      </c>
      <c r="B22" s="7" t="s">
        <v>53</v>
      </c>
      <c r="C22" s="9" t="s">
        <v>608</v>
      </c>
      <c r="D22" s="7" t="s">
        <v>114</v>
      </c>
      <c r="E22" s="9" t="s">
        <v>677</v>
      </c>
      <c r="F22" s="9" t="s">
        <v>119</v>
      </c>
      <c r="G22" s="7" t="s">
        <v>1441</v>
      </c>
      <c r="H22" s="9" t="s">
        <v>1469</v>
      </c>
      <c r="I22" s="8" t="n">
        <v>46310</v>
      </c>
      <c r="J22" s="7" t="s">
        <v>1222</v>
      </c>
    </row>
    <row r="23" customFormat="false" ht="31.5" hidden="false" customHeight="true" outlineLevel="0" collapsed="false">
      <c r="A23" s="15" t="s">
        <v>1470</v>
      </c>
      <c r="B23" s="7" t="s">
        <v>63</v>
      </c>
      <c r="C23" s="9" t="s">
        <v>620</v>
      </c>
      <c r="D23" s="7" t="s">
        <v>114</v>
      </c>
      <c r="E23" s="9" t="s">
        <v>677</v>
      </c>
      <c r="F23" s="9" t="s">
        <v>119</v>
      </c>
      <c r="G23" s="7" t="s">
        <v>1441</v>
      </c>
      <c r="H23" s="9" t="s">
        <v>1471</v>
      </c>
      <c r="I23" s="8" t="n">
        <v>46310</v>
      </c>
      <c r="J23" s="7" t="s">
        <v>1222</v>
      </c>
    </row>
    <row r="24" customFormat="false" ht="31.5" hidden="false" customHeight="true" outlineLevel="0" collapsed="false">
      <c r="A24" s="15" t="s">
        <v>1472</v>
      </c>
      <c r="B24" s="7" t="s">
        <v>114</v>
      </c>
      <c r="C24" s="9" t="s">
        <v>677</v>
      </c>
      <c r="D24" s="7" t="s">
        <v>18</v>
      </c>
      <c r="E24" s="9" t="s">
        <v>568</v>
      </c>
      <c r="F24" s="9" t="s">
        <v>24</v>
      </c>
      <c r="G24" s="7" t="s">
        <v>1451</v>
      </c>
      <c r="H24" s="9" t="s">
        <v>1473</v>
      </c>
      <c r="I24" s="8" t="n">
        <v>46310</v>
      </c>
      <c r="J24" s="7" t="s">
        <v>1222</v>
      </c>
    </row>
    <row r="25" customFormat="false" ht="31.5" hidden="false" customHeight="true" outlineLevel="0" collapsed="false">
      <c r="A25" s="15" t="s">
        <v>1474</v>
      </c>
      <c r="B25" s="7" t="s">
        <v>114</v>
      </c>
      <c r="C25" s="9" t="s">
        <v>677</v>
      </c>
      <c r="D25" s="7" t="s">
        <v>34</v>
      </c>
      <c r="E25" s="9" t="s">
        <v>584</v>
      </c>
      <c r="F25" s="9" t="s">
        <v>37</v>
      </c>
      <c r="G25" s="7" t="s">
        <v>1441</v>
      </c>
      <c r="H25" s="9" t="s">
        <v>1473</v>
      </c>
      <c r="I25" s="8" t="n">
        <v>46310</v>
      </c>
      <c r="J25" s="7" t="s">
        <v>1222</v>
      </c>
    </row>
    <row r="26" customFormat="false" ht="31.5" hidden="false" customHeight="true" outlineLevel="0" collapsed="false">
      <c r="A26" s="15" t="s">
        <v>1475</v>
      </c>
      <c r="B26" s="7" t="s">
        <v>114</v>
      </c>
      <c r="C26" s="9" t="s">
        <v>677</v>
      </c>
      <c r="D26" s="7" t="s">
        <v>53</v>
      </c>
      <c r="E26" s="9" t="s">
        <v>608</v>
      </c>
      <c r="F26" s="9" t="s">
        <v>56</v>
      </c>
      <c r="G26" s="7" t="s">
        <v>1441</v>
      </c>
      <c r="H26" s="9" t="s">
        <v>1473</v>
      </c>
      <c r="I26" s="8" t="n">
        <v>46310</v>
      </c>
      <c r="J26" s="7" t="s">
        <v>1222</v>
      </c>
    </row>
    <row r="27" customFormat="false" ht="31.5" hidden="false" customHeight="true" outlineLevel="0" collapsed="false">
      <c r="A27" s="15" t="s">
        <v>1476</v>
      </c>
      <c r="B27" s="7" t="s">
        <v>114</v>
      </c>
      <c r="C27" s="9" t="s">
        <v>677</v>
      </c>
      <c r="D27" s="7" t="s">
        <v>63</v>
      </c>
      <c r="E27" s="9" t="s">
        <v>620</v>
      </c>
      <c r="F27" s="9" t="s">
        <v>66</v>
      </c>
      <c r="G27" s="7" t="s">
        <v>1441</v>
      </c>
      <c r="H27" s="9" t="s">
        <v>1473</v>
      </c>
      <c r="I27" s="8" t="n">
        <v>46310</v>
      </c>
      <c r="J27" s="7" t="s">
        <v>1222</v>
      </c>
    </row>
    <row r="28" customFormat="false" ht="31.5" hidden="false" customHeight="true" outlineLevel="0" collapsed="false">
      <c r="A28" s="15" t="s">
        <v>1477</v>
      </c>
      <c r="B28" s="7" t="s">
        <v>53</v>
      </c>
      <c r="C28" s="9" t="s">
        <v>608</v>
      </c>
      <c r="D28" s="7" t="s">
        <v>124</v>
      </c>
      <c r="E28" s="9" t="s">
        <v>690</v>
      </c>
      <c r="F28" s="9" t="s">
        <v>128</v>
      </c>
      <c r="G28" s="7" t="s">
        <v>1451</v>
      </c>
      <c r="H28" s="9" t="s">
        <v>1478</v>
      </c>
      <c r="I28" s="8" t="n">
        <v>46312</v>
      </c>
      <c r="J28" s="7" t="s">
        <v>1222</v>
      </c>
    </row>
    <row r="29" customFormat="false" ht="31.5" hidden="false" customHeight="true" outlineLevel="0" collapsed="false">
      <c r="A29" s="15" t="s">
        <v>1479</v>
      </c>
      <c r="B29" s="7" t="s">
        <v>124</v>
      </c>
      <c r="C29" s="9" t="s">
        <v>690</v>
      </c>
      <c r="D29" s="7" t="s">
        <v>53</v>
      </c>
      <c r="E29" s="9" t="s">
        <v>608</v>
      </c>
      <c r="F29" s="9" t="s">
        <v>56</v>
      </c>
      <c r="G29" s="7" t="s">
        <v>1451</v>
      </c>
      <c r="H29" s="9" t="s">
        <v>1480</v>
      </c>
      <c r="I29" s="8" t="n">
        <v>46312</v>
      </c>
      <c r="J29" s="7" t="s">
        <v>1222</v>
      </c>
    </row>
    <row r="30" customFormat="false" ht="31.5" hidden="false" customHeight="true" outlineLevel="0" collapsed="false">
      <c r="A30" s="15" t="s">
        <v>1481</v>
      </c>
      <c r="B30" s="7" t="s">
        <v>53</v>
      </c>
      <c r="C30" s="9" t="s">
        <v>608</v>
      </c>
      <c r="D30" s="7" t="s">
        <v>145</v>
      </c>
      <c r="E30" s="9" t="s">
        <v>711</v>
      </c>
      <c r="F30" s="9" t="s">
        <v>147</v>
      </c>
      <c r="G30" s="7" t="s">
        <v>1451</v>
      </c>
      <c r="H30" s="9" t="s">
        <v>1482</v>
      </c>
      <c r="I30" s="8" t="n">
        <v>46317</v>
      </c>
      <c r="J30" s="7" t="s">
        <v>1222</v>
      </c>
    </row>
    <row r="31" customFormat="false" ht="31.5" hidden="false" customHeight="true" outlineLevel="0" collapsed="false">
      <c r="A31" s="15" t="s">
        <v>1483</v>
      </c>
      <c r="B31" s="7" t="s">
        <v>83</v>
      </c>
      <c r="C31" s="9" t="s">
        <v>642</v>
      </c>
      <c r="D31" s="7" t="s">
        <v>145</v>
      </c>
      <c r="E31" s="9" t="s">
        <v>711</v>
      </c>
      <c r="F31" s="9" t="s">
        <v>147</v>
      </c>
      <c r="G31" s="7" t="s">
        <v>1441</v>
      </c>
      <c r="H31" s="9" t="s">
        <v>1484</v>
      </c>
      <c r="I31" s="8" t="n">
        <v>46317</v>
      </c>
      <c r="J31" s="7" t="s">
        <v>1222</v>
      </c>
    </row>
    <row r="32" customFormat="false" ht="31.5" hidden="false" customHeight="true" outlineLevel="0" collapsed="false">
      <c r="A32" s="15" t="s">
        <v>1485</v>
      </c>
      <c r="B32" s="7" t="s">
        <v>124</v>
      </c>
      <c r="C32" s="9" t="s">
        <v>690</v>
      </c>
      <c r="D32" s="7" t="s">
        <v>145</v>
      </c>
      <c r="E32" s="9" t="s">
        <v>711</v>
      </c>
      <c r="F32" s="9" t="s">
        <v>147</v>
      </c>
      <c r="G32" s="7" t="s">
        <v>1441</v>
      </c>
      <c r="H32" s="9" t="s">
        <v>1486</v>
      </c>
      <c r="I32" s="8" t="n">
        <v>46317</v>
      </c>
      <c r="J32" s="7" t="s">
        <v>1222</v>
      </c>
    </row>
    <row r="33" customFormat="false" ht="31.5" hidden="false" customHeight="true" outlineLevel="0" collapsed="false">
      <c r="A33" s="15" t="s">
        <v>1487</v>
      </c>
      <c r="B33" s="7" t="s">
        <v>145</v>
      </c>
      <c r="C33" s="9" t="s">
        <v>711</v>
      </c>
      <c r="D33" s="7" t="s">
        <v>53</v>
      </c>
      <c r="E33" s="9" t="s">
        <v>608</v>
      </c>
      <c r="F33" s="9" t="s">
        <v>56</v>
      </c>
      <c r="G33" s="7" t="s">
        <v>1451</v>
      </c>
      <c r="H33" s="9" t="s">
        <v>1488</v>
      </c>
      <c r="I33" s="8" t="n">
        <v>46317</v>
      </c>
      <c r="J33" s="7" t="s">
        <v>1222</v>
      </c>
    </row>
    <row r="34" customFormat="false" ht="31.5" hidden="false" customHeight="true" outlineLevel="0" collapsed="false">
      <c r="A34" s="15" t="s">
        <v>1489</v>
      </c>
      <c r="B34" s="7" t="s">
        <v>145</v>
      </c>
      <c r="C34" s="9" t="s">
        <v>711</v>
      </c>
      <c r="D34" s="7" t="s">
        <v>83</v>
      </c>
      <c r="E34" s="9" t="s">
        <v>642</v>
      </c>
      <c r="F34" s="9" t="s">
        <v>85</v>
      </c>
      <c r="G34" s="7" t="s">
        <v>1441</v>
      </c>
      <c r="H34" s="9" t="s">
        <v>1488</v>
      </c>
      <c r="I34" s="8" t="n">
        <v>46317</v>
      </c>
      <c r="J34" s="7" t="s">
        <v>1222</v>
      </c>
    </row>
    <row r="35" customFormat="false" ht="31.5" hidden="false" customHeight="true" outlineLevel="0" collapsed="false">
      <c r="A35" s="15" t="s">
        <v>1490</v>
      </c>
      <c r="B35" s="7" t="s">
        <v>145</v>
      </c>
      <c r="C35" s="9" t="s">
        <v>711</v>
      </c>
      <c r="D35" s="7" t="s">
        <v>124</v>
      </c>
      <c r="E35" s="9" t="s">
        <v>690</v>
      </c>
      <c r="F35" s="9" t="s">
        <v>128</v>
      </c>
      <c r="G35" s="7" t="s">
        <v>1441</v>
      </c>
      <c r="H35" s="9" t="s">
        <v>1488</v>
      </c>
      <c r="I35" s="8" t="n">
        <v>46317</v>
      </c>
      <c r="J35" s="7" t="s">
        <v>1222</v>
      </c>
    </row>
    <row r="36" customFormat="false" ht="31.5" hidden="false" customHeight="true" outlineLevel="0" collapsed="false">
      <c r="A36" s="15" t="s">
        <v>1491</v>
      </c>
      <c r="B36" s="7" t="s">
        <v>53</v>
      </c>
      <c r="C36" s="9" t="s">
        <v>608</v>
      </c>
      <c r="D36" s="7" t="s">
        <v>154</v>
      </c>
      <c r="E36" s="9" t="s">
        <v>722</v>
      </c>
      <c r="F36" s="9" t="s">
        <v>156</v>
      </c>
      <c r="G36" s="7" t="s">
        <v>1451</v>
      </c>
      <c r="H36" s="9" t="s">
        <v>1492</v>
      </c>
      <c r="I36" s="8" t="n">
        <v>46319</v>
      </c>
      <c r="J36" s="7" t="s">
        <v>1222</v>
      </c>
    </row>
    <row r="37" customFormat="false" ht="31.5" hidden="false" customHeight="true" outlineLevel="0" collapsed="false">
      <c r="A37" s="15" t="s">
        <v>1493</v>
      </c>
      <c r="B37" s="7" t="s">
        <v>154</v>
      </c>
      <c r="C37" s="9" t="s">
        <v>722</v>
      </c>
      <c r="D37" s="7" t="s">
        <v>53</v>
      </c>
      <c r="E37" s="9" t="s">
        <v>608</v>
      </c>
      <c r="F37" s="9" t="s">
        <v>56</v>
      </c>
      <c r="G37" s="7" t="s">
        <v>1451</v>
      </c>
      <c r="H37" s="9" t="s">
        <v>1494</v>
      </c>
      <c r="I37" s="8" t="n">
        <v>46319</v>
      </c>
      <c r="J37" s="7" t="s">
        <v>1222</v>
      </c>
    </row>
    <row r="38" customFormat="false" ht="31.5" hidden="false" customHeight="true" outlineLevel="0" collapsed="false">
      <c r="A38" s="15" t="s">
        <v>1495</v>
      </c>
      <c r="B38" s="7" t="s">
        <v>63</v>
      </c>
      <c r="C38" s="9" t="s">
        <v>620</v>
      </c>
      <c r="D38" s="7" t="s">
        <v>163</v>
      </c>
      <c r="E38" s="9" t="s">
        <v>732</v>
      </c>
      <c r="F38" s="9" t="s">
        <v>165</v>
      </c>
      <c r="G38" s="7" t="s">
        <v>1451</v>
      </c>
      <c r="H38" s="9" t="s">
        <v>1496</v>
      </c>
      <c r="I38" s="8" t="n">
        <v>46322</v>
      </c>
      <c r="J38" s="7" t="s">
        <v>1222</v>
      </c>
    </row>
    <row r="39" customFormat="false" ht="31.5" hidden="false" customHeight="true" outlineLevel="0" collapsed="false">
      <c r="A39" s="15" t="s">
        <v>1497</v>
      </c>
      <c r="B39" s="7" t="s">
        <v>163</v>
      </c>
      <c r="C39" s="9" t="s">
        <v>732</v>
      </c>
      <c r="D39" s="7" t="s">
        <v>63</v>
      </c>
      <c r="E39" s="9" t="s">
        <v>620</v>
      </c>
      <c r="F39" s="9" t="s">
        <v>66</v>
      </c>
      <c r="G39" s="7" t="s">
        <v>1451</v>
      </c>
      <c r="H39" s="9" t="s">
        <v>1498</v>
      </c>
      <c r="I39" s="8" t="n">
        <v>46322</v>
      </c>
      <c r="J39" s="7" t="s">
        <v>1222</v>
      </c>
    </row>
    <row r="40" customFormat="false" ht="31.5" hidden="false" customHeight="true" outlineLevel="0" collapsed="false">
      <c r="A40" s="15" t="s">
        <v>1499</v>
      </c>
      <c r="B40" s="7" t="s">
        <v>63</v>
      </c>
      <c r="C40" s="9" t="s">
        <v>620</v>
      </c>
      <c r="D40" s="7" t="s">
        <v>172</v>
      </c>
      <c r="E40" s="9" t="s">
        <v>743</v>
      </c>
      <c r="F40" s="9" t="s">
        <v>174</v>
      </c>
      <c r="G40" s="7" t="s">
        <v>1451</v>
      </c>
      <c r="H40" s="9" t="s">
        <v>1500</v>
      </c>
      <c r="I40" s="8" t="n">
        <v>46324</v>
      </c>
      <c r="J40" s="7" t="s">
        <v>1222</v>
      </c>
    </row>
    <row r="41" customFormat="false" ht="31.5" hidden="false" customHeight="true" outlineLevel="0" collapsed="false">
      <c r="A41" s="15" t="s">
        <v>1501</v>
      </c>
      <c r="B41" s="7" t="s">
        <v>163</v>
      </c>
      <c r="C41" s="9" t="s">
        <v>732</v>
      </c>
      <c r="D41" s="7" t="s">
        <v>172</v>
      </c>
      <c r="E41" s="9" t="s">
        <v>743</v>
      </c>
      <c r="F41" s="9" t="s">
        <v>174</v>
      </c>
      <c r="G41" s="7" t="s">
        <v>1441</v>
      </c>
      <c r="H41" s="9" t="s">
        <v>1502</v>
      </c>
      <c r="I41" s="8" t="n">
        <v>46324</v>
      </c>
      <c r="J41" s="7" t="s">
        <v>1222</v>
      </c>
    </row>
    <row r="42" customFormat="false" ht="31.5" hidden="false" customHeight="true" outlineLevel="0" collapsed="false">
      <c r="A42" s="15" t="s">
        <v>1503</v>
      </c>
      <c r="B42" s="7" t="s">
        <v>172</v>
      </c>
      <c r="C42" s="9" t="s">
        <v>743</v>
      </c>
      <c r="D42" s="7" t="s">
        <v>63</v>
      </c>
      <c r="E42" s="9" t="s">
        <v>620</v>
      </c>
      <c r="F42" s="9" t="s">
        <v>66</v>
      </c>
      <c r="G42" s="7" t="s">
        <v>1451</v>
      </c>
      <c r="H42" s="9" t="s">
        <v>1504</v>
      </c>
      <c r="I42" s="8" t="n">
        <v>46324</v>
      </c>
      <c r="J42" s="7" t="s">
        <v>1222</v>
      </c>
    </row>
    <row r="43" customFormat="false" ht="31.5" hidden="false" customHeight="true" outlineLevel="0" collapsed="false">
      <c r="A43" s="15" t="s">
        <v>1505</v>
      </c>
      <c r="B43" s="7" t="s">
        <v>172</v>
      </c>
      <c r="C43" s="9" t="s">
        <v>743</v>
      </c>
      <c r="D43" s="7" t="s">
        <v>163</v>
      </c>
      <c r="E43" s="9" t="s">
        <v>732</v>
      </c>
      <c r="F43" s="9" t="s">
        <v>165</v>
      </c>
      <c r="G43" s="7" t="s">
        <v>1441</v>
      </c>
      <c r="H43" s="9" t="s">
        <v>1504</v>
      </c>
      <c r="I43" s="8" t="n">
        <v>46324</v>
      </c>
      <c r="J43" s="7" t="s">
        <v>1222</v>
      </c>
    </row>
    <row r="44" customFormat="false" ht="31.5" hidden="false" customHeight="true" outlineLevel="0" collapsed="false">
      <c r="A44" s="15" t="s">
        <v>1506</v>
      </c>
      <c r="B44" s="7" t="s">
        <v>53</v>
      </c>
      <c r="C44" s="9" t="s">
        <v>608</v>
      </c>
      <c r="D44" s="7" t="s">
        <v>181</v>
      </c>
      <c r="E44" s="9" t="s">
        <v>754</v>
      </c>
      <c r="F44" s="9" t="s">
        <v>183</v>
      </c>
      <c r="G44" s="7" t="s">
        <v>1451</v>
      </c>
      <c r="H44" s="9" t="s">
        <v>1507</v>
      </c>
      <c r="I44" s="8" t="n">
        <v>46326</v>
      </c>
      <c r="J44" s="7" t="s">
        <v>1222</v>
      </c>
    </row>
    <row r="45" customFormat="false" ht="31.5" hidden="false" customHeight="true" outlineLevel="0" collapsed="false">
      <c r="A45" s="15" t="s">
        <v>1508</v>
      </c>
      <c r="B45" s="7" t="s">
        <v>145</v>
      </c>
      <c r="C45" s="9" t="s">
        <v>711</v>
      </c>
      <c r="D45" s="7" t="s">
        <v>181</v>
      </c>
      <c r="E45" s="9" t="s">
        <v>754</v>
      </c>
      <c r="F45" s="9" t="s">
        <v>183</v>
      </c>
      <c r="G45" s="7" t="s">
        <v>1441</v>
      </c>
      <c r="H45" s="9" t="s">
        <v>1509</v>
      </c>
      <c r="I45" s="8" t="n">
        <v>46326</v>
      </c>
      <c r="J45" s="7" t="s">
        <v>1222</v>
      </c>
    </row>
    <row r="46" customFormat="false" ht="31.5" hidden="false" customHeight="true" outlineLevel="0" collapsed="false">
      <c r="A46" s="15" t="s">
        <v>1510</v>
      </c>
      <c r="B46" s="7" t="s">
        <v>154</v>
      </c>
      <c r="C46" s="9" t="s">
        <v>722</v>
      </c>
      <c r="D46" s="7" t="s">
        <v>181</v>
      </c>
      <c r="E46" s="9" t="s">
        <v>754</v>
      </c>
      <c r="F46" s="9" t="s">
        <v>183</v>
      </c>
      <c r="G46" s="7" t="s">
        <v>1441</v>
      </c>
      <c r="H46" s="9" t="s">
        <v>1511</v>
      </c>
      <c r="I46" s="8" t="n">
        <v>46326</v>
      </c>
      <c r="J46" s="7" t="s">
        <v>1222</v>
      </c>
    </row>
    <row r="47" customFormat="false" ht="31.5" hidden="false" customHeight="true" outlineLevel="0" collapsed="false">
      <c r="A47" s="15" t="s">
        <v>1512</v>
      </c>
      <c r="B47" s="7" t="s">
        <v>181</v>
      </c>
      <c r="C47" s="9" t="s">
        <v>754</v>
      </c>
      <c r="D47" s="7" t="s">
        <v>53</v>
      </c>
      <c r="E47" s="9" t="s">
        <v>608</v>
      </c>
      <c r="F47" s="9" t="s">
        <v>56</v>
      </c>
      <c r="G47" s="7" t="s">
        <v>1451</v>
      </c>
      <c r="H47" s="9" t="s">
        <v>1513</v>
      </c>
      <c r="I47" s="8" t="n">
        <v>46326</v>
      </c>
      <c r="J47" s="7" t="s">
        <v>1222</v>
      </c>
    </row>
    <row r="48" customFormat="false" ht="31.5" hidden="false" customHeight="true" outlineLevel="0" collapsed="false">
      <c r="A48" s="15" t="s">
        <v>1514</v>
      </c>
      <c r="B48" s="7" t="s">
        <v>181</v>
      </c>
      <c r="C48" s="9" t="s">
        <v>754</v>
      </c>
      <c r="D48" s="7" t="s">
        <v>145</v>
      </c>
      <c r="E48" s="9" t="s">
        <v>711</v>
      </c>
      <c r="F48" s="9" t="s">
        <v>147</v>
      </c>
      <c r="G48" s="7" t="s">
        <v>1441</v>
      </c>
      <c r="H48" s="9" t="s">
        <v>1513</v>
      </c>
      <c r="I48" s="8" t="n">
        <v>46326</v>
      </c>
      <c r="J48" s="7" t="s">
        <v>1222</v>
      </c>
    </row>
    <row r="49" customFormat="false" ht="31.5" hidden="false" customHeight="true" outlineLevel="0" collapsed="false">
      <c r="A49" s="15" t="s">
        <v>1515</v>
      </c>
      <c r="B49" s="7" t="s">
        <v>181</v>
      </c>
      <c r="C49" s="9" t="s">
        <v>754</v>
      </c>
      <c r="D49" s="7" t="s">
        <v>154</v>
      </c>
      <c r="E49" s="9" t="s">
        <v>722</v>
      </c>
      <c r="F49" s="9" t="s">
        <v>156</v>
      </c>
      <c r="G49" s="7" t="s">
        <v>1441</v>
      </c>
      <c r="H49" s="9" t="s">
        <v>1513</v>
      </c>
      <c r="I49" s="8" t="n">
        <v>46326</v>
      </c>
      <c r="J49" s="7" t="s">
        <v>1222</v>
      </c>
    </row>
    <row r="50" customFormat="false" ht="31.5" hidden="false" customHeight="true" outlineLevel="0" collapsed="false">
      <c r="A50" s="15" t="s">
        <v>1516</v>
      </c>
      <c r="B50" s="7" t="s">
        <v>53</v>
      </c>
      <c r="C50" s="9" t="s">
        <v>608</v>
      </c>
      <c r="D50" s="7" t="s">
        <v>189</v>
      </c>
      <c r="E50" s="9" t="s">
        <v>765</v>
      </c>
      <c r="F50" s="9" t="s">
        <v>192</v>
      </c>
      <c r="G50" s="7" t="s">
        <v>1451</v>
      </c>
      <c r="H50" s="9" t="s">
        <v>1517</v>
      </c>
      <c r="I50" s="8" t="n">
        <v>46329</v>
      </c>
      <c r="J50" s="7" t="s">
        <v>1222</v>
      </c>
    </row>
    <row r="51" customFormat="false" ht="31.5" hidden="false" customHeight="true" outlineLevel="0" collapsed="false">
      <c r="A51" s="15" t="s">
        <v>1518</v>
      </c>
      <c r="B51" s="7" t="s">
        <v>83</v>
      </c>
      <c r="C51" s="9" t="s">
        <v>642</v>
      </c>
      <c r="D51" s="7" t="s">
        <v>189</v>
      </c>
      <c r="E51" s="9" t="s">
        <v>765</v>
      </c>
      <c r="F51" s="9" t="s">
        <v>192</v>
      </c>
      <c r="G51" s="7" t="s">
        <v>1441</v>
      </c>
      <c r="H51" s="9" t="s">
        <v>1519</v>
      </c>
      <c r="I51" s="8" t="n">
        <v>46329</v>
      </c>
      <c r="J51" s="7" t="s">
        <v>1222</v>
      </c>
    </row>
    <row r="52" customFormat="false" ht="31.5" hidden="false" customHeight="true" outlineLevel="0" collapsed="false">
      <c r="A52" s="15" t="s">
        <v>1520</v>
      </c>
      <c r="B52" s="7" t="s">
        <v>189</v>
      </c>
      <c r="C52" s="9" t="s">
        <v>765</v>
      </c>
      <c r="D52" s="7" t="s">
        <v>53</v>
      </c>
      <c r="E52" s="9" t="s">
        <v>608</v>
      </c>
      <c r="F52" s="9" t="s">
        <v>56</v>
      </c>
      <c r="G52" s="7" t="s">
        <v>1451</v>
      </c>
      <c r="H52" s="9" t="s">
        <v>1521</v>
      </c>
      <c r="I52" s="8" t="n">
        <v>46329</v>
      </c>
      <c r="J52" s="7" t="s">
        <v>1222</v>
      </c>
    </row>
    <row r="53" customFormat="false" ht="31.5" hidden="false" customHeight="true" outlineLevel="0" collapsed="false">
      <c r="A53" s="15" t="s">
        <v>1522</v>
      </c>
      <c r="B53" s="7" t="s">
        <v>189</v>
      </c>
      <c r="C53" s="9" t="s">
        <v>765</v>
      </c>
      <c r="D53" s="7" t="s">
        <v>83</v>
      </c>
      <c r="E53" s="9" t="s">
        <v>642</v>
      </c>
      <c r="F53" s="9" t="s">
        <v>85</v>
      </c>
      <c r="G53" s="7" t="s">
        <v>1441</v>
      </c>
      <c r="H53" s="9" t="s">
        <v>1521</v>
      </c>
      <c r="I53" s="8" t="n">
        <v>46329</v>
      </c>
      <c r="J53" s="7" t="s">
        <v>1222</v>
      </c>
    </row>
    <row r="54" customFormat="false" ht="31.5" hidden="false" customHeight="true" outlineLevel="0" collapsed="false">
      <c r="A54" s="15" t="s">
        <v>1523</v>
      </c>
      <c r="B54" s="7" t="s">
        <v>53</v>
      </c>
      <c r="C54" s="9" t="s">
        <v>608</v>
      </c>
      <c r="D54" s="7" t="s">
        <v>199</v>
      </c>
      <c r="E54" s="9" t="s">
        <v>777</v>
      </c>
      <c r="F54" s="9" t="s">
        <v>202</v>
      </c>
      <c r="G54" s="7" t="s">
        <v>1441</v>
      </c>
      <c r="H54" s="9" t="s">
        <v>1524</v>
      </c>
      <c r="I54" s="8" t="n">
        <v>46331</v>
      </c>
      <c r="J54" s="7" t="s">
        <v>1222</v>
      </c>
    </row>
    <row r="55" customFormat="false" ht="31.5" hidden="false" customHeight="true" outlineLevel="0" collapsed="false">
      <c r="A55" s="15" t="s">
        <v>1525</v>
      </c>
      <c r="B55" s="7" t="s">
        <v>124</v>
      </c>
      <c r="C55" s="9" t="s">
        <v>690</v>
      </c>
      <c r="D55" s="7" t="s">
        <v>199</v>
      </c>
      <c r="E55" s="9" t="s">
        <v>777</v>
      </c>
      <c r="F55" s="9" t="s">
        <v>202</v>
      </c>
      <c r="G55" s="7" t="s">
        <v>1441</v>
      </c>
      <c r="H55" s="9" t="s">
        <v>1526</v>
      </c>
      <c r="I55" s="8" t="n">
        <v>46331</v>
      </c>
      <c r="J55" s="7" t="s">
        <v>1222</v>
      </c>
    </row>
    <row r="56" customFormat="false" ht="31.5" hidden="false" customHeight="true" outlineLevel="0" collapsed="false">
      <c r="A56" s="15" t="s">
        <v>1527</v>
      </c>
      <c r="B56" s="7" t="s">
        <v>145</v>
      </c>
      <c r="C56" s="9" t="s">
        <v>711</v>
      </c>
      <c r="D56" s="7" t="s">
        <v>199</v>
      </c>
      <c r="E56" s="9" t="s">
        <v>777</v>
      </c>
      <c r="F56" s="9" t="s">
        <v>202</v>
      </c>
      <c r="G56" s="7" t="s">
        <v>1441</v>
      </c>
      <c r="H56" s="9" t="s">
        <v>1528</v>
      </c>
      <c r="I56" s="8" t="n">
        <v>46331</v>
      </c>
      <c r="J56" s="7" t="s">
        <v>1222</v>
      </c>
    </row>
    <row r="57" customFormat="false" ht="31.5" hidden="false" customHeight="true" outlineLevel="0" collapsed="false">
      <c r="A57" s="15" t="s">
        <v>1529</v>
      </c>
      <c r="B57" s="7" t="s">
        <v>199</v>
      </c>
      <c r="C57" s="9" t="s">
        <v>777</v>
      </c>
      <c r="D57" s="7" t="s">
        <v>53</v>
      </c>
      <c r="E57" s="9" t="s">
        <v>608</v>
      </c>
      <c r="F57" s="9" t="s">
        <v>56</v>
      </c>
      <c r="G57" s="7" t="s">
        <v>1441</v>
      </c>
      <c r="H57" s="9" t="s">
        <v>1530</v>
      </c>
      <c r="I57" s="8" t="n">
        <v>46331</v>
      </c>
      <c r="J57" s="7" t="s">
        <v>1222</v>
      </c>
    </row>
    <row r="58" customFormat="false" ht="31.5" hidden="false" customHeight="true" outlineLevel="0" collapsed="false">
      <c r="A58" s="15" t="s">
        <v>1531</v>
      </c>
      <c r="B58" s="7" t="s">
        <v>199</v>
      </c>
      <c r="C58" s="9" t="s">
        <v>777</v>
      </c>
      <c r="D58" s="7" t="s">
        <v>124</v>
      </c>
      <c r="E58" s="9" t="s">
        <v>690</v>
      </c>
      <c r="F58" s="9" t="s">
        <v>128</v>
      </c>
      <c r="G58" s="7" t="s">
        <v>1441</v>
      </c>
      <c r="H58" s="9" t="s">
        <v>1530</v>
      </c>
      <c r="I58" s="8" t="n">
        <v>46331</v>
      </c>
      <c r="J58" s="7" t="s">
        <v>1222</v>
      </c>
    </row>
    <row r="59" customFormat="false" ht="31.5" hidden="false" customHeight="true" outlineLevel="0" collapsed="false">
      <c r="A59" s="15" t="s">
        <v>1532</v>
      </c>
      <c r="B59" s="7" t="s">
        <v>199</v>
      </c>
      <c r="C59" s="9" t="s">
        <v>777</v>
      </c>
      <c r="D59" s="7" t="s">
        <v>145</v>
      </c>
      <c r="E59" s="9" t="s">
        <v>711</v>
      </c>
      <c r="F59" s="9" t="s">
        <v>147</v>
      </c>
      <c r="G59" s="7" t="s">
        <v>1441</v>
      </c>
      <c r="H59" s="9" t="s">
        <v>1530</v>
      </c>
      <c r="I59" s="8" t="n">
        <v>46331</v>
      </c>
      <c r="J59" s="7" t="s">
        <v>1222</v>
      </c>
    </row>
    <row r="60" customFormat="false" ht="31.5" hidden="false" customHeight="true" outlineLevel="0" collapsed="false">
      <c r="A60" s="15" t="s">
        <v>1533</v>
      </c>
      <c r="B60" s="7" t="s">
        <v>34</v>
      </c>
      <c r="C60" s="9" t="s">
        <v>584</v>
      </c>
      <c r="D60" s="7" t="s">
        <v>209</v>
      </c>
      <c r="E60" s="9" t="s">
        <v>789</v>
      </c>
      <c r="F60" s="9" t="s">
        <v>211</v>
      </c>
      <c r="G60" s="7" t="s">
        <v>1441</v>
      </c>
      <c r="H60" s="9" t="s">
        <v>1534</v>
      </c>
      <c r="I60" s="8" t="n">
        <v>46333</v>
      </c>
      <c r="J60" s="7" t="s">
        <v>1222</v>
      </c>
    </row>
    <row r="61" customFormat="false" ht="31.5" hidden="false" customHeight="true" outlineLevel="0" collapsed="false">
      <c r="A61" s="15" t="s">
        <v>1535</v>
      </c>
      <c r="B61" s="7" t="s">
        <v>43</v>
      </c>
      <c r="C61" s="9" t="s">
        <v>596</v>
      </c>
      <c r="D61" s="7" t="s">
        <v>209</v>
      </c>
      <c r="E61" s="9" t="s">
        <v>789</v>
      </c>
      <c r="F61" s="9" t="s">
        <v>211</v>
      </c>
      <c r="G61" s="7" t="s">
        <v>1451</v>
      </c>
      <c r="H61" s="9" t="s">
        <v>1536</v>
      </c>
      <c r="I61" s="8" t="n">
        <v>46333</v>
      </c>
      <c r="J61" s="7" t="s">
        <v>1222</v>
      </c>
    </row>
    <row r="62" customFormat="false" ht="31.5" hidden="false" customHeight="true" outlineLevel="0" collapsed="false">
      <c r="A62" s="15" t="s">
        <v>1537</v>
      </c>
      <c r="B62" s="7" t="s">
        <v>101</v>
      </c>
      <c r="C62" s="9" t="s">
        <v>664</v>
      </c>
      <c r="D62" s="7" t="s">
        <v>209</v>
      </c>
      <c r="E62" s="9" t="s">
        <v>789</v>
      </c>
      <c r="F62" s="9" t="s">
        <v>211</v>
      </c>
      <c r="G62" s="7" t="s">
        <v>1441</v>
      </c>
      <c r="H62" s="9" t="s">
        <v>1538</v>
      </c>
      <c r="I62" s="8" t="n">
        <v>46333</v>
      </c>
      <c r="J62" s="7" t="s">
        <v>1222</v>
      </c>
    </row>
    <row r="63" customFormat="false" ht="31.5" hidden="false" customHeight="true" outlineLevel="0" collapsed="false">
      <c r="A63" s="15" t="s">
        <v>1539</v>
      </c>
      <c r="B63" s="7" t="s">
        <v>209</v>
      </c>
      <c r="C63" s="9" t="s">
        <v>789</v>
      </c>
      <c r="D63" s="7" t="s">
        <v>34</v>
      </c>
      <c r="E63" s="9" t="s">
        <v>584</v>
      </c>
      <c r="F63" s="9" t="s">
        <v>37</v>
      </c>
      <c r="G63" s="7" t="s">
        <v>1441</v>
      </c>
      <c r="H63" s="9" t="s">
        <v>1540</v>
      </c>
      <c r="I63" s="8" t="n">
        <v>46333</v>
      </c>
      <c r="J63" s="7" t="s">
        <v>1222</v>
      </c>
    </row>
    <row r="64" customFormat="false" ht="31.5" hidden="false" customHeight="true" outlineLevel="0" collapsed="false">
      <c r="A64" s="15" t="s">
        <v>1541</v>
      </c>
      <c r="B64" s="7" t="s">
        <v>209</v>
      </c>
      <c r="C64" s="9" t="s">
        <v>789</v>
      </c>
      <c r="D64" s="7" t="s">
        <v>43</v>
      </c>
      <c r="E64" s="9" t="s">
        <v>596</v>
      </c>
      <c r="F64" s="9" t="s">
        <v>46</v>
      </c>
      <c r="G64" s="7" t="s">
        <v>1451</v>
      </c>
      <c r="H64" s="9" t="s">
        <v>1540</v>
      </c>
      <c r="I64" s="8" t="n">
        <v>46333</v>
      </c>
      <c r="J64" s="7" t="s">
        <v>1222</v>
      </c>
    </row>
    <row r="65" customFormat="false" ht="31.5" hidden="false" customHeight="true" outlineLevel="0" collapsed="false">
      <c r="A65" s="15" t="s">
        <v>1542</v>
      </c>
      <c r="B65" s="7" t="s">
        <v>209</v>
      </c>
      <c r="C65" s="9" t="s">
        <v>789</v>
      </c>
      <c r="D65" s="7" t="s">
        <v>101</v>
      </c>
      <c r="E65" s="9" t="s">
        <v>664</v>
      </c>
      <c r="F65" s="9" t="s">
        <v>107</v>
      </c>
      <c r="G65" s="7" t="s">
        <v>1441</v>
      </c>
      <c r="H65" s="9" t="s">
        <v>1540</v>
      </c>
      <c r="I65" s="8" t="n">
        <v>46333</v>
      </c>
      <c r="J65" s="7" t="s">
        <v>1222</v>
      </c>
    </row>
    <row r="66" customFormat="false" ht="31.5" hidden="false" customHeight="true" outlineLevel="0" collapsed="false">
      <c r="A66" s="15" t="s">
        <v>1543</v>
      </c>
      <c r="B66" s="7" t="s">
        <v>63</v>
      </c>
      <c r="C66" s="9" t="s">
        <v>620</v>
      </c>
      <c r="D66" s="7" t="s">
        <v>217</v>
      </c>
      <c r="E66" s="9" t="s">
        <v>800</v>
      </c>
      <c r="F66" s="9" t="s">
        <v>219</v>
      </c>
      <c r="G66" s="7" t="s">
        <v>1451</v>
      </c>
      <c r="H66" s="9" t="s">
        <v>1544</v>
      </c>
      <c r="I66" s="8" t="n">
        <v>46336</v>
      </c>
      <c r="J66" s="7" t="s">
        <v>1222</v>
      </c>
    </row>
    <row r="67" customFormat="false" ht="31.5" hidden="false" customHeight="true" outlineLevel="0" collapsed="false">
      <c r="A67" s="15" t="s">
        <v>1545</v>
      </c>
      <c r="B67" s="7" t="s">
        <v>163</v>
      </c>
      <c r="C67" s="9" t="s">
        <v>732</v>
      </c>
      <c r="D67" s="7" t="s">
        <v>217</v>
      </c>
      <c r="E67" s="9" t="s">
        <v>800</v>
      </c>
      <c r="F67" s="9" t="s">
        <v>219</v>
      </c>
      <c r="G67" s="7" t="s">
        <v>1441</v>
      </c>
      <c r="H67" s="9" t="s">
        <v>1546</v>
      </c>
      <c r="I67" s="8" t="n">
        <v>46336</v>
      </c>
      <c r="J67" s="7" t="s">
        <v>1222</v>
      </c>
    </row>
    <row r="68" customFormat="false" ht="31.5" hidden="false" customHeight="true" outlineLevel="0" collapsed="false">
      <c r="A68" s="15" t="s">
        <v>1547</v>
      </c>
      <c r="B68" s="7" t="s">
        <v>217</v>
      </c>
      <c r="C68" s="9" t="s">
        <v>800</v>
      </c>
      <c r="D68" s="7" t="s">
        <v>63</v>
      </c>
      <c r="E68" s="9" t="s">
        <v>620</v>
      </c>
      <c r="F68" s="9" t="s">
        <v>66</v>
      </c>
      <c r="G68" s="7" t="s">
        <v>1451</v>
      </c>
      <c r="H68" s="9" t="s">
        <v>1548</v>
      </c>
      <c r="I68" s="8" t="n">
        <v>46336</v>
      </c>
      <c r="J68" s="7" t="s">
        <v>1222</v>
      </c>
    </row>
    <row r="69" customFormat="false" ht="31.5" hidden="false" customHeight="true" outlineLevel="0" collapsed="false">
      <c r="A69" s="15" t="s">
        <v>1549</v>
      </c>
      <c r="B69" s="7" t="s">
        <v>217</v>
      </c>
      <c r="C69" s="9" t="s">
        <v>800</v>
      </c>
      <c r="D69" s="7" t="s">
        <v>163</v>
      </c>
      <c r="E69" s="9" t="s">
        <v>732</v>
      </c>
      <c r="F69" s="9" t="s">
        <v>165</v>
      </c>
      <c r="G69" s="7" t="s">
        <v>1441</v>
      </c>
      <c r="H69" s="9" t="s">
        <v>1548</v>
      </c>
      <c r="I69" s="8" t="n">
        <v>46336</v>
      </c>
      <c r="J69" s="7" t="s">
        <v>1222</v>
      </c>
    </row>
    <row r="70" customFormat="false" ht="18.75" hidden="false" customHeight="true" outlineLevel="0" collapsed="false">
      <c r="A70" s="15" t="s">
        <v>1550</v>
      </c>
      <c r="B70" s="7" t="s">
        <v>135</v>
      </c>
      <c r="C70" s="9" t="s">
        <v>701</v>
      </c>
      <c r="D70" s="7" t="s">
        <v>226</v>
      </c>
      <c r="E70" s="9" t="s">
        <v>810</v>
      </c>
      <c r="F70" s="9" t="s">
        <v>228</v>
      </c>
      <c r="G70" s="7" t="s">
        <v>1451</v>
      </c>
      <c r="H70" s="9" t="s">
        <v>1551</v>
      </c>
      <c r="I70" s="8" t="n">
        <v>46338</v>
      </c>
      <c r="J70" s="7" t="s">
        <v>1222</v>
      </c>
    </row>
    <row r="71" customFormat="false" ht="31.5" hidden="false" customHeight="true" outlineLevel="0" collapsed="false">
      <c r="A71" s="15" t="s">
        <v>1552</v>
      </c>
      <c r="B71" s="7" t="s">
        <v>145</v>
      </c>
      <c r="C71" s="9" t="s">
        <v>711</v>
      </c>
      <c r="D71" s="7" t="s">
        <v>226</v>
      </c>
      <c r="E71" s="9" t="s">
        <v>810</v>
      </c>
      <c r="F71" s="9" t="s">
        <v>228</v>
      </c>
      <c r="G71" s="7" t="s">
        <v>1441</v>
      </c>
      <c r="H71" s="9" t="s">
        <v>1553</v>
      </c>
      <c r="I71" s="8" t="n">
        <v>46338</v>
      </c>
      <c r="J71" s="7" t="s">
        <v>1222</v>
      </c>
    </row>
    <row r="72" customFormat="false" ht="31.5" hidden="false" customHeight="true" outlineLevel="0" collapsed="false">
      <c r="A72" s="15" t="s">
        <v>1554</v>
      </c>
      <c r="B72" s="7" t="s">
        <v>154</v>
      </c>
      <c r="C72" s="9" t="s">
        <v>722</v>
      </c>
      <c r="D72" s="7" t="s">
        <v>226</v>
      </c>
      <c r="E72" s="9" t="s">
        <v>810</v>
      </c>
      <c r="F72" s="9" t="s">
        <v>228</v>
      </c>
      <c r="G72" s="7" t="s">
        <v>1441</v>
      </c>
      <c r="H72" s="9" t="s">
        <v>1555</v>
      </c>
      <c r="I72" s="8" t="n">
        <v>46338</v>
      </c>
      <c r="J72" s="7" t="s">
        <v>1222</v>
      </c>
    </row>
    <row r="73" customFormat="false" ht="31.5" hidden="false" customHeight="true" outlineLevel="0" collapsed="false">
      <c r="A73" s="15" t="s">
        <v>1556</v>
      </c>
      <c r="B73" s="7" t="s">
        <v>181</v>
      </c>
      <c r="C73" s="9" t="s">
        <v>754</v>
      </c>
      <c r="D73" s="7" t="s">
        <v>226</v>
      </c>
      <c r="E73" s="9" t="s">
        <v>810</v>
      </c>
      <c r="F73" s="9" t="s">
        <v>228</v>
      </c>
      <c r="G73" s="7" t="s">
        <v>1441</v>
      </c>
      <c r="H73" s="9" t="s">
        <v>1557</v>
      </c>
      <c r="I73" s="8" t="n">
        <v>46338</v>
      </c>
      <c r="J73" s="7" t="s">
        <v>1222</v>
      </c>
    </row>
    <row r="74" customFormat="false" ht="18.75" hidden="false" customHeight="true" outlineLevel="0" collapsed="false">
      <c r="A74" s="15" t="s">
        <v>1558</v>
      </c>
      <c r="B74" s="7" t="s">
        <v>226</v>
      </c>
      <c r="C74" s="9" t="s">
        <v>810</v>
      </c>
      <c r="D74" s="7" t="s">
        <v>135</v>
      </c>
      <c r="E74" s="9" t="s">
        <v>701</v>
      </c>
      <c r="F74" s="9" t="s">
        <v>138</v>
      </c>
      <c r="G74" s="7" t="s">
        <v>1451</v>
      </c>
      <c r="H74" s="9" t="s">
        <v>1559</v>
      </c>
      <c r="I74" s="8" t="n">
        <v>46338</v>
      </c>
      <c r="J74" s="7" t="s">
        <v>1222</v>
      </c>
    </row>
    <row r="75" customFormat="false" ht="31.5" hidden="false" customHeight="true" outlineLevel="0" collapsed="false">
      <c r="A75" s="15" t="s">
        <v>1560</v>
      </c>
      <c r="B75" s="7" t="s">
        <v>226</v>
      </c>
      <c r="C75" s="9" t="s">
        <v>810</v>
      </c>
      <c r="D75" s="7" t="s">
        <v>145</v>
      </c>
      <c r="E75" s="9" t="s">
        <v>711</v>
      </c>
      <c r="F75" s="9" t="s">
        <v>147</v>
      </c>
      <c r="G75" s="7" t="s">
        <v>1441</v>
      </c>
      <c r="H75" s="9" t="s">
        <v>1559</v>
      </c>
      <c r="I75" s="8" t="n">
        <v>46338</v>
      </c>
      <c r="J75" s="7" t="s">
        <v>1222</v>
      </c>
    </row>
    <row r="76" customFormat="false" ht="31.5" hidden="false" customHeight="true" outlineLevel="0" collapsed="false">
      <c r="A76" s="15" t="s">
        <v>1561</v>
      </c>
      <c r="B76" s="7" t="s">
        <v>226</v>
      </c>
      <c r="C76" s="9" t="s">
        <v>810</v>
      </c>
      <c r="D76" s="7" t="s">
        <v>154</v>
      </c>
      <c r="E76" s="9" t="s">
        <v>722</v>
      </c>
      <c r="F76" s="9" t="s">
        <v>156</v>
      </c>
      <c r="G76" s="7" t="s">
        <v>1441</v>
      </c>
      <c r="H76" s="9" t="s">
        <v>1559</v>
      </c>
      <c r="I76" s="8" t="n">
        <v>46338</v>
      </c>
      <c r="J76" s="7" t="s">
        <v>1222</v>
      </c>
    </row>
    <row r="77" customFormat="false" ht="31.5" hidden="false" customHeight="true" outlineLevel="0" collapsed="false">
      <c r="A77" s="15" t="s">
        <v>1562</v>
      </c>
      <c r="B77" s="7" t="s">
        <v>226</v>
      </c>
      <c r="C77" s="9" t="s">
        <v>810</v>
      </c>
      <c r="D77" s="7" t="s">
        <v>181</v>
      </c>
      <c r="E77" s="9" t="s">
        <v>754</v>
      </c>
      <c r="F77" s="9" t="s">
        <v>183</v>
      </c>
      <c r="G77" s="7" t="s">
        <v>1441</v>
      </c>
      <c r="H77" s="9" t="s">
        <v>1559</v>
      </c>
      <c r="I77" s="8" t="n">
        <v>46338</v>
      </c>
      <c r="J77" s="7" t="s">
        <v>1222</v>
      </c>
    </row>
    <row r="78" customFormat="false" ht="31.5" hidden="false" customHeight="true" outlineLevel="0" collapsed="false">
      <c r="A78" s="15" t="s">
        <v>1563</v>
      </c>
      <c r="B78" s="7" t="s">
        <v>53</v>
      </c>
      <c r="C78" s="9" t="s">
        <v>608</v>
      </c>
      <c r="D78" s="7" t="s">
        <v>235</v>
      </c>
      <c r="E78" s="9" t="s">
        <v>821</v>
      </c>
      <c r="F78" s="9" t="s">
        <v>237</v>
      </c>
      <c r="G78" s="7" t="s">
        <v>1451</v>
      </c>
      <c r="H78" s="9" t="s">
        <v>1564</v>
      </c>
      <c r="I78" s="8" t="n">
        <v>46340</v>
      </c>
      <c r="J78" s="7" t="s">
        <v>1222</v>
      </c>
    </row>
    <row r="79" customFormat="false" ht="31.5" hidden="false" customHeight="true" outlineLevel="0" collapsed="false">
      <c r="A79" s="15" t="s">
        <v>1565</v>
      </c>
      <c r="B79" s="7" t="s">
        <v>83</v>
      </c>
      <c r="C79" s="9" t="s">
        <v>642</v>
      </c>
      <c r="D79" s="7" t="s">
        <v>235</v>
      </c>
      <c r="E79" s="9" t="s">
        <v>821</v>
      </c>
      <c r="F79" s="9" t="s">
        <v>237</v>
      </c>
      <c r="G79" s="7" t="s">
        <v>1441</v>
      </c>
      <c r="H79" s="9" t="s">
        <v>1566</v>
      </c>
      <c r="I79" s="8" t="n">
        <v>46340</v>
      </c>
      <c r="J79" s="7" t="s">
        <v>1222</v>
      </c>
    </row>
    <row r="80" customFormat="false" ht="31.5" hidden="false" customHeight="true" outlineLevel="0" collapsed="false">
      <c r="A80" s="15" t="s">
        <v>1567</v>
      </c>
      <c r="B80" s="7" t="s">
        <v>145</v>
      </c>
      <c r="C80" s="9" t="s">
        <v>711</v>
      </c>
      <c r="D80" s="7" t="s">
        <v>235</v>
      </c>
      <c r="E80" s="9" t="s">
        <v>821</v>
      </c>
      <c r="F80" s="9" t="s">
        <v>237</v>
      </c>
      <c r="G80" s="7" t="s">
        <v>1441</v>
      </c>
      <c r="H80" s="9" t="s">
        <v>1568</v>
      </c>
      <c r="I80" s="8" t="n">
        <v>46340</v>
      </c>
      <c r="J80" s="7" t="s">
        <v>1222</v>
      </c>
    </row>
    <row r="81" customFormat="false" ht="31.5" hidden="false" customHeight="true" outlineLevel="0" collapsed="false">
      <c r="A81" s="15" t="s">
        <v>1569</v>
      </c>
      <c r="B81" s="7" t="s">
        <v>154</v>
      </c>
      <c r="C81" s="9" t="s">
        <v>722</v>
      </c>
      <c r="D81" s="7" t="s">
        <v>235</v>
      </c>
      <c r="E81" s="9" t="s">
        <v>821</v>
      </c>
      <c r="F81" s="9" t="s">
        <v>237</v>
      </c>
      <c r="G81" s="7" t="s">
        <v>1441</v>
      </c>
      <c r="H81" s="9" t="s">
        <v>1570</v>
      </c>
      <c r="I81" s="8" t="n">
        <v>46340</v>
      </c>
      <c r="J81" s="7" t="s">
        <v>1222</v>
      </c>
    </row>
    <row r="82" customFormat="false" ht="31.5" hidden="false" customHeight="true" outlineLevel="0" collapsed="false">
      <c r="A82" s="15" t="s">
        <v>1571</v>
      </c>
      <c r="B82" s="7" t="s">
        <v>181</v>
      </c>
      <c r="C82" s="9" t="s">
        <v>754</v>
      </c>
      <c r="D82" s="7" t="s">
        <v>235</v>
      </c>
      <c r="E82" s="9" t="s">
        <v>821</v>
      </c>
      <c r="F82" s="9" t="s">
        <v>237</v>
      </c>
      <c r="G82" s="7" t="s">
        <v>1441</v>
      </c>
      <c r="H82" s="9" t="s">
        <v>1572</v>
      </c>
      <c r="I82" s="8" t="n">
        <v>46340</v>
      </c>
      <c r="J82" s="7" t="s">
        <v>1222</v>
      </c>
    </row>
    <row r="83" customFormat="false" ht="31.5" hidden="false" customHeight="true" outlineLevel="0" collapsed="false">
      <c r="A83" s="15" t="s">
        <v>1573</v>
      </c>
      <c r="B83" s="7" t="s">
        <v>189</v>
      </c>
      <c r="C83" s="9" t="s">
        <v>765</v>
      </c>
      <c r="D83" s="7" t="s">
        <v>235</v>
      </c>
      <c r="E83" s="9" t="s">
        <v>821</v>
      </c>
      <c r="F83" s="9" t="s">
        <v>237</v>
      </c>
      <c r="G83" s="7" t="s">
        <v>1441</v>
      </c>
      <c r="H83" s="9" t="s">
        <v>1574</v>
      </c>
      <c r="I83" s="8" t="n">
        <v>46340</v>
      </c>
      <c r="J83" s="7" t="s">
        <v>1222</v>
      </c>
    </row>
    <row r="84" customFormat="false" ht="31.5" hidden="false" customHeight="true" outlineLevel="0" collapsed="false">
      <c r="A84" s="15" t="s">
        <v>1575</v>
      </c>
      <c r="B84" s="7" t="s">
        <v>235</v>
      </c>
      <c r="C84" s="9" t="s">
        <v>821</v>
      </c>
      <c r="D84" s="7" t="s">
        <v>53</v>
      </c>
      <c r="E84" s="9" t="s">
        <v>608</v>
      </c>
      <c r="F84" s="9" t="s">
        <v>56</v>
      </c>
      <c r="G84" s="7" t="s">
        <v>1451</v>
      </c>
      <c r="H84" s="9" t="s">
        <v>1576</v>
      </c>
      <c r="I84" s="8" t="n">
        <v>46340</v>
      </c>
      <c r="J84" s="7" t="s">
        <v>1222</v>
      </c>
    </row>
    <row r="85" customFormat="false" ht="31.5" hidden="false" customHeight="true" outlineLevel="0" collapsed="false">
      <c r="A85" s="15" t="s">
        <v>1577</v>
      </c>
      <c r="B85" s="7" t="s">
        <v>235</v>
      </c>
      <c r="C85" s="9" t="s">
        <v>821</v>
      </c>
      <c r="D85" s="7" t="s">
        <v>83</v>
      </c>
      <c r="E85" s="9" t="s">
        <v>642</v>
      </c>
      <c r="F85" s="9" t="s">
        <v>85</v>
      </c>
      <c r="G85" s="7" t="s">
        <v>1441</v>
      </c>
      <c r="H85" s="9" t="s">
        <v>1576</v>
      </c>
      <c r="I85" s="8" t="n">
        <v>46340</v>
      </c>
      <c r="J85" s="7" t="s">
        <v>1222</v>
      </c>
    </row>
    <row r="86" customFormat="false" ht="31.5" hidden="false" customHeight="true" outlineLevel="0" collapsed="false">
      <c r="A86" s="15" t="s">
        <v>1578</v>
      </c>
      <c r="B86" s="7" t="s">
        <v>235</v>
      </c>
      <c r="C86" s="9" t="s">
        <v>821</v>
      </c>
      <c r="D86" s="7" t="s">
        <v>145</v>
      </c>
      <c r="E86" s="9" t="s">
        <v>711</v>
      </c>
      <c r="F86" s="9" t="s">
        <v>147</v>
      </c>
      <c r="G86" s="7" t="s">
        <v>1441</v>
      </c>
      <c r="H86" s="9" t="s">
        <v>1576</v>
      </c>
      <c r="I86" s="8" t="n">
        <v>46340</v>
      </c>
      <c r="J86" s="7" t="s">
        <v>1222</v>
      </c>
    </row>
    <row r="87" customFormat="false" ht="31.5" hidden="false" customHeight="true" outlineLevel="0" collapsed="false">
      <c r="A87" s="15" t="s">
        <v>1579</v>
      </c>
      <c r="B87" s="7" t="s">
        <v>235</v>
      </c>
      <c r="C87" s="9" t="s">
        <v>821</v>
      </c>
      <c r="D87" s="7" t="s">
        <v>154</v>
      </c>
      <c r="E87" s="9" t="s">
        <v>722</v>
      </c>
      <c r="F87" s="9" t="s">
        <v>156</v>
      </c>
      <c r="G87" s="7" t="s">
        <v>1441</v>
      </c>
      <c r="H87" s="9" t="s">
        <v>1576</v>
      </c>
      <c r="I87" s="8" t="n">
        <v>46340</v>
      </c>
      <c r="J87" s="7" t="s">
        <v>1222</v>
      </c>
    </row>
    <row r="88" customFormat="false" ht="31.5" hidden="false" customHeight="true" outlineLevel="0" collapsed="false">
      <c r="A88" s="15" t="s">
        <v>1580</v>
      </c>
      <c r="B88" s="7" t="s">
        <v>235</v>
      </c>
      <c r="C88" s="9" t="s">
        <v>821</v>
      </c>
      <c r="D88" s="7" t="s">
        <v>181</v>
      </c>
      <c r="E88" s="9" t="s">
        <v>754</v>
      </c>
      <c r="F88" s="9" t="s">
        <v>183</v>
      </c>
      <c r="G88" s="7" t="s">
        <v>1441</v>
      </c>
      <c r="H88" s="9" t="s">
        <v>1576</v>
      </c>
      <c r="I88" s="8" t="n">
        <v>46340</v>
      </c>
      <c r="J88" s="7" t="s">
        <v>1222</v>
      </c>
    </row>
    <row r="89" customFormat="false" ht="31.5" hidden="false" customHeight="true" outlineLevel="0" collapsed="false">
      <c r="A89" s="15" t="s">
        <v>1581</v>
      </c>
      <c r="B89" s="7" t="s">
        <v>235</v>
      </c>
      <c r="C89" s="9" t="s">
        <v>821</v>
      </c>
      <c r="D89" s="7" t="s">
        <v>189</v>
      </c>
      <c r="E89" s="9" t="s">
        <v>765</v>
      </c>
      <c r="F89" s="9" t="s">
        <v>192</v>
      </c>
      <c r="G89" s="7" t="s">
        <v>1441</v>
      </c>
      <c r="H89" s="9" t="s">
        <v>1576</v>
      </c>
      <c r="I89" s="8" t="n">
        <v>46340</v>
      </c>
      <c r="J89" s="7" t="s">
        <v>1222</v>
      </c>
    </row>
    <row r="90" customFormat="false" ht="31.5" hidden="false" customHeight="true" outlineLevel="0" collapsed="false">
      <c r="A90" s="15" t="s">
        <v>1582</v>
      </c>
      <c r="B90" s="7" t="s">
        <v>73</v>
      </c>
      <c r="C90" s="9" t="s">
        <v>631</v>
      </c>
      <c r="D90" s="7" t="s">
        <v>244</v>
      </c>
      <c r="E90" s="9" t="s">
        <v>831</v>
      </c>
      <c r="F90" s="9" t="s">
        <v>246</v>
      </c>
      <c r="G90" s="7" t="s">
        <v>1441</v>
      </c>
      <c r="H90" s="9" t="s">
        <v>1583</v>
      </c>
      <c r="I90" s="8" t="n">
        <v>46343</v>
      </c>
      <c r="J90" s="7" t="s">
        <v>1222</v>
      </c>
    </row>
    <row r="91" customFormat="false" ht="31.5" hidden="false" customHeight="true" outlineLevel="0" collapsed="false">
      <c r="A91" s="15" t="s">
        <v>1584</v>
      </c>
      <c r="B91" s="7" t="s">
        <v>92</v>
      </c>
      <c r="C91" s="9" t="s">
        <v>653</v>
      </c>
      <c r="D91" s="7" t="s">
        <v>244</v>
      </c>
      <c r="E91" s="9" t="s">
        <v>831</v>
      </c>
      <c r="F91" s="9" t="s">
        <v>246</v>
      </c>
      <c r="G91" s="7" t="s">
        <v>1451</v>
      </c>
      <c r="H91" s="9" t="s">
        <v>1585</v>
      </c>
      <c r="I91" s="8" t="n">
        <v>46343</v>
      </c>
      <c r="J91" s="7" t="s">
        <v>1222</v>
      </c>
    </row>
    <row r="92" customFormat="false" ht="31.5" hidden="false" customHeight="true" outlineLevel="0" collapsed="false">
      <c r="A92" s="15" t="s">
        <v>1586</v>
      </c>
      <c r="B92" s="7" t="s">
        <v>244</v>
      </c>
      <c r="C92" s="9" t="s">
        <v>831</v>
      </c>
      <c r="D92" s="7" t="s">
        <v>73</v>
      </c>
      <c r="E92" s="9" t="s">
        <v>631</v>
      </c>
      <c r="F92" s="9" t="s">
        <v>76</v>
      </c>
      <c r="G92" s="7" t="s">
        <v>1441</v>
      </c>
      <c r="H92" s="9" t="s">
        <v>1587</v>
      </c>
      <c r="I92" s="8" t="n">
        <v>46343</v>
      </c>
      <c r="J92" s="7" t="s">
        <v>1222</v>
      </c>
    </row>
    <row r="93" customFormat="false" ht="31.5" hidden="false" customHeight="true" outlineLevel="0" collapsed="false">
      <c r="A93" s="15" t="s">
        <v>1588</v>
      </c>
      <c r="B93" s="7" t="s">
        <v>244</v>
      </c>
      <c r="C93" s="9" t="s">
        <v>831</v>
      </c>
      <c r="D93" s="7" t="s">
        <v>92</v>
      </c>
      <c r="E93" s="9" t="s">
        <v>653</v>
      </c>
      <c r="F93" s="9" t="s">
        <v>94</v>
      </c>
      <c r="G93" s="7" t="s">
        <v>1451</v>
      </c>
      <c r="H93" s="9" t="s">
        <v>1587</v>
      </c>
      <c r="I93" s="8" t="n">
        <v>46343</v>
      </c>
      <c r="J93" s="7" t="s">
        <v>1222</v>
      </c>
    </row>
    <row r="94" customFormat="false" ht="31.5" hidden="false" customHeight="true" outlineLevel="0" collapsed="false">
      <c r="A94" s="15" t="s">
        <v>1589</v>
      </c>
      <c r="B94" s="7" t="s">
        <v>34</v>
      </c>
      <c r="C94" s="9" t="s">
        <v>584</v>
      </c>
      <c r="D94" s="7" t="s">
        <v>252</v>
      </c>
      <c r="E94" s="9" t="s">
        <v>842</v>
      </c>
      <c r="F94" s="9" t="s">
        <v>254</v>
      </c>
      <c r="G94" s="7" t="s">
        <v>1451</v>
      </c>
      <c r="H94" s="9" t="s">
        <v>1590</v>
      </c>
      <c r="I94" s="8" t="n">
        <v>46345</v>
      </c>
      <c r="J94" s="7" t="s">
        <v>1222</v>
      </c>
    </row>
    <row r="95" customFormat="false" ht="31.5" hidden="false" customHeight="true" outlineLevel="0" collapsed="false">
      <c r="A95" s="15" t="s">
        <v>1591</v>
      </c>
      <c r="B95" s="7" t="s">
        <v>172</v>
      </c>
      <c r="C95" s="9" t="s">
        <v>743</v>
      </c>
      <c r="D95" s="7" t="s">
        <v>252</v>
      </c>
      <c r="E95" s="9" t="s">
        <v>842</v>
      </c>
      <c r="F95" s="9" t="s">
        <v>254</v>
      </c>
      <c r="G95" s="7" t="s">
        <v>1441</v>
      </c>
      <c r="H95" s="9" t="s">
        <v>1592</v>
      </c>
      <c r="I95" s="8" t="n">
        <v>46345</v>
      </c>
      <c r="J95" s="7" t="s">
        <v>1222</v>
      </c>
    </row>
    <row r="96" customFormat="false" ht="31.5" hidden="false" customHeight="true" outlineLevel="0" collapsed="false">
      <c r="A96" s="15" t="s">
        <v>1593</v>
      </c>
      <c r="B96" s="7" t="s">
        <v>199</v>
      </c>
      <c r="C96" s="9" t="s">
        <v>777</v>
      </c>
      <c r="D96" s="7" t="s">
        <v>252</v>
      </c>
      <c r="E96" s="9" t="s">
        <v>842</v>
      </c>
      <c r="F96" s="9" t="s">
        <v>254</v>
      </c>
      <c r="G96" s="7" t="s">
        <v>1441</v>
      </c>
      <c r="H96" s="9" t="s">
        <v>1594</v>
      </c>
      <c r="I96" s="8" t="n">
        <v>46345</v>
      </c>
      <c r="J96" s="7" t="s">
        <v>1222</v>
      </c>
    </row>
    <row r="97" customFormat="false" ht="31.5" hidden="false" customHeight="true" outlineLevel="0" collapsed="false">
      <c r="A97" s="15" t="s">
        <v>1595</v>
      </c>
      <c r="B97" s="7" t="s">
        <v>252</v>
      </c>
      <c r="C97" s="9" t="s">
        <v>842</v>
      </c>
      <c r="D97" s="7" t="s">
        <v>34</v>
      </c>
      <c r="E97" s="9" t="s">
        <v>584</v>
      </c>
      <c r="F97" s="9" t="s">
        <v>37</v>
      </c>
      <c r="G97" s="7" t="s">
        <v>1451</v>
      </c>
      <c r="H97" s="9" t="s">
        <v>1596</v>
      </c>
      <c r="I97" s="8" t="n">
        <v>46345</v>
      </c>
      <c r="J97" s="7" t="s">
        <v>1222</v>
      </c>
    </row>
    <row r="98" customFormat="false" ht="31.5" hidden="false" customHeight="true" outlineLevel="0" collapsed="false">
      <c r="A98" s="15" t="s">
        <v>1597</v>
      </c>
      <c r="B98" s="7" t="s">
        <v>252</v>
      </c>
      <c r="C98" s="9" t="s">
        <v>842</v>
      </c>
      <c r="D98" s="7" t="s">
        <v>172</v>
      </c>
      <c r="E98" s="9" t="s">
        <v>743</v>
      </c>
      <c r="F98" s="9" t="s">
        <v>174</v>
      </c>
      <c r="G98" s="7" t="s">
        <v>1441</v>
      </c>
      <c r="H98" s="9" t="s">
        <v>1596</v>
      </c>
      <c r="I98" s="8" t="n">
        <v>46345</v>
      </c>
      <c r="J98" s="7" t="s">
        <v>1222</v>
      </c>
    </row>
    <row r="99" customFormat="false" ht="31.5" hidden="false" customHeight="true" outlineLevel="0" collapsed="false">
      <c r="A99" s="15" t="s">
        <v>1598</v>
      </c>
      <c r="B99" s="7" t="s">
        <v>252</v>
      </c>
      <c r="C99" s="9" t="s">
        <v>842</v>
      </c>
      <c r="D99" s="7" t="s">
        <v>199</v>
      </c>
      <c r="E99" s="9" t="s">
        <v>777</v>
      </c>
      <c r="F99" s="9" t="s">
        <v>202</v>
      </c>
      <c r="G99" s="7" t="s">
        <v>1441</v>
      </c>
      <c r="H99" s="9" t="s">
        <v>1596</v>
      </c>
      <c r="I99" s="8" t="n">
        <v>46345</v>
      </c>
      <c r="J99" s="7" t="s">
        <v>1222</v>
      </c>
    </row>
    <row r="100" customFormat="false" ht="31.5" hidden="false" customHeight="true" outlineLevel="0" collapsed="false">
      <c r="A100" s="15" t="s">
        <v>1599</v>
      </c>
      <c r="B100" s="7" t="s">
        <v>34</v>
      </c>
      <c r="C100" s="9" t="s">
        <v>584</v>
      </c>
      <c r="D100" s="7" t="s">
        <v>260</v>
      </c>
      <c r="E100" s="9" t="s">
        <v>853</v>
      </c>
      <c r="F100" s="9" t="s">
        <v>262</v>
      </c>
      <c r="G100" s="7" t="s">
        <v>1451</v>
      </c>
      <c r="H100" s="9" t="s">
        <v>1600</v>
      </c>
      <c r="I100" s="8" t="n">
        <v>46347</v>
      </c>
      <c r="J100" s="7" t="s">
        <v>1222</v>
      </c>
    </row>
    <row r="101" customFormat="false" ht="18.75" hidden="false" customHeight="true" outlineLevel="0" collapsed="false">
      <c r="A101" s="15" t="s">
        <v>1601</v>
      </c>
      <c r="B101" s="7" t="s">
        <v>135</v>
      </c>
      <c r="C101" s="9" t="s">
        <v>701</v>
      </c>
      <c r="D101" s="7" t="s">
        <v>260</v>
      </c>
      <c r="E101" s="9" t="s">
        <v>853</v>
      </c>
      <c r="F101" s="9" t="s">
        <v>262</v>
      </c>
      <c r="G101" s="7" t="s">
        <v>1441</v>
      </c>
      <c r="H101" s="9" t="s">
        <v>1602</v>
      </c>
      <c r="I101" s="8" t="n">
        <v>46347</v>
      </c>
      <c r="J101" s="7" t="s">
        <v>1222</v>
      </c>
    </row>
    <row r="102" customFormat="false" ht="31.5" hidden="false" customHeight="true" outlineLevel="0" collapsed="false">
      <c r="A102" s="15" t="s">
        <v>1603</v>
      </c>
      <c r="B102" s="7" t="s">
        <v>260</v>
      </c>
      <c r="C102" s="9" t="s">
        <v>853</v>
      </c>
      <c r="D102" s="7" t="s">
        <v>34</v>
      </c>
      <c r="E102" s="9" t="s">
        <v>584</v>
      </c>
      <c r="F102" s="9" t="s">
        <v>37</v>
      </c>
      <c r="G102" s="7" t="s">
        <v>1451</v>
      </c>
      <c r="H102" s="9" t="s">
        <v>1604</v>
      </c>
      <c r="I102" s="8" t="n">
        <v>46347</v>
      </c>
      <c r="J102" s="7" t="s">
        <v>1222</v>
      </c>
    </row>
    <row r="103" customFormat="false" ht="18.75" hidden="false" customHeight="true" outlineLevel="0" collapsed="false">
      <c r="A103" s="15" t="s">
        <v>1605</v>
      </c>
      <c r="B103" s="7" t="s">
        <v>260</v>
      </c>
      <c r="C103" s="9" t="s">
        <v>853</v>
      </c>
      <c r="D103" s="7" t="s">
        <v>135</v>
      </c>
      <c r="E103" s="9" t="s">
        <v>701</v>
      </c>
      <c r="F103" s="9" t="s">
        <v>138</v>
      </c>
      <c r="G103" s="7" t="s">
        <v>1441</v>
      </c>
      <c r="H103" s="9" t="s">
        <v>1604</v>
      </c>
      <c r="I103" s="8" t="n">
        <v>46347</v>
      </c>
      <c r="J103" s="7" t="s">
        <v>1222</v>
      </c>
    </row>
    <row r="104" customFormat="false" ht="31.5" hidden="false" customHeight="true" outlineLevel="0" collapsed="false">
      <c r="A104" s="15" t="s">
        <v>1606</v>
      </c>
      <c r="B104" s="7" t="s">
        <v>114</v>
      </c>
      <c r="C104" s="9" t="s">
        <v>677</v>
      </c>
      <c r="D104" s="7" t="s">
        <v>268</v>
      </c>
      <c r="E104" s="9" t="s">
        <v>864</v>
      </c>
      <c r="F104" s="9" t="s">
        <v>270</v>
      </c>
      <c r="G104" s="7" t="s">
        <v>1441</v>
      </c>
      <c r="H104" s="9" t="s">
        <v>1607</v>
      </c>
      <c r="I104" s="8" t="n">
        <v>46350</v>
      </c>
      <c r="J104" s="7" t="s">
        <v>1222</v>
      </c>
    </row>
    <row r="105" customFormat="false" ht="31.5" hidden="false" customHeight="true" outlineLevel="0" collapsed="false">
      <c r="A105" s="15" t="s">
        <v>1608</v>
      </c>
      <c r="B105" s="7" t="s">
        <v>199</v>
      </c>
      <c r="C105" s="9" t="s">
        <v>777</v>
      </c>
      <c r="D105" s="7" t="s">
        <v>268</v>
      </c>
      <c r="E105" s="9" t="s">
        <v>864</v>
      </c>
      <c r="F105" s="9" t="s">
        <v>270</v>
      </c>
      <c r="G105" s="7" t="s">
        <v>1451</v>
      </c>
      <c r="H105" s="9" t="s">
        <v>1609</v>
      </c>
      <c r="I105" s="8" t="n">
        <v>46350</v>
      </c>
      <c r="J105" s="7" t="s">
        <v>1222</v>
      </c>
    </row>
    <row r="106" customFormat="false" ht="31.5" hidden="false" customHeight="true" outlineLevel="0" collapsed="false">
      <c r="A106" s="15" t="s">
        <v>1610</v>
      </c>
      <c r="B106" s="7" t="s">
        <v>268</v>
      </c>
      <c r="C106" s="9" t="s">
        <v>864</v>
      </c>
      <c r="D106" s="7" t="s">
        <v>114</v>
      </c>
      <c r="E106" s="9" t="s">
        <v>677</v>
      </c>
      <c r="F106" s="9" t="s">
        <v>119</v>
      </c>
      <c r="G106" s="7" t="s">
        <v>1441</v>
      </c>
      <c r="H106" s="9" t="s">
        <v>1611</v>
      </c>
      <c r="I106" s="8" t="n">
        <v>46350</v>
      </c>
      <c r="J106" s="7" t="s">
        <v>1222</v>
      </c>
    </row>
    <row r="107" customFormat="false" ht="31.5" hidden="false" customHeight="true" outlineLevel="0" collapsed="false">
      <c r="A107" s="15" t="s">
        <v>1612</v>
      </c>
      <c r="B107" s="7" t="s">
        <v>268</v>
      </c>
      <c r="C107" s="9" t="s">
        <v>864</v>
      </c>
      <c r="D107" s="7" t="s">
        <v>199</v>
      </c>
      <c r="E107" s="9" t="s">
        <v>777</v>
      </c>
      <c r="F107" s="9" t="s">
        <v>202</v>
      </c>
      <c r="G107" s="7" t="s">
        <v>1451</v>
      </c>
      <c r="H107" s="9" t="s">
        <v>1611</v>
      </c>
      <c r="I107" s="8" t="n">
        <v>46350</v>
      </c>
      <c r="J107" s="7" t="s">
        <v>1222</v>
      </c>
    </row>
    <row r="108" customFormat="false" ht="31.5" hidden="false" customHeight="true" outlineLevel="0" collapsed="false">
      <c r="A108" s="15" t="s">
        <v>1613</v>
      </c>
      <c r="B108" s="7" t="s">
        <v>34</v>
      </c>
      <c r="C108" s="9" t="s">
        <v>584</v>
      </c>
      <c r="D108" s="7" t="s">
        <v>277</v>
      </c>
      <c r="E108" s="9" t="s">
        <v>876</v>
      </c>
      <c r="F108" s="9" t="s">
        <v>279</v>
      </c>
      <c r="G108" s="7" t="s">
        <v>1441</v>
      </c>
      <c r="H108" s="9" t="s">
        <v>1614</v>
      </c>
      <c r="I108" s="8" t="n">
        <v>46352</v>
      </c>
      <c r="J108" s="7" t="s">
        <v>1222</v>
      </c>
    </row>
    <row r="109" customFormat="false" ht="31.5" hidden="false" customHeight="true" outlineLevel="0" collapsed="false">
      <c r="A109" s="15" t="s">
        <v>1615</v>
      </c>
      <c r="B109" s="7" t="s">
        <v>43</v>
      </c>
      <c r="C109" s="9" t="s">
        <v>596</v>
      </c>
      <c r="D109" s="7" t="s">
        <v>277</v>
      </c>
      <c r="E109" s="9" t="s">
        <v>876</v>
      </c>
      <c r="F109" s="9" t="s">
        <v>279</v>
      </c>
      <c r="G109" s="7" t="s">
        <v>1451</v>
      </c>
      <c r="H109" s="9" t="s">
        <v>1616</v>
      </c>
      <c r="I109" s="8" t="n">
        <v>46352</v>
      </c>
      <c r="J109" s="7" t="s">
        <v>1222</v>
      </c>
    </row>
    <row r="110" customFormat="false" ht="31.5" hidden="false" customHeight="true" outlineLevel="0" collapsed="false">
      <c r="A110" s="15" t="s">
        <v>1617</v>
      </c>
      <c r="B110" s="7" t="s">
        <v>53</v>
      </c>
      <c r="C110" s="9" t="s">
        <v>608</v>
      </c>
      <c r="D110" s="7" t="s">
        <v>277</v>
      </c>
      <c r="E110" s="9" t="s">
        <v>876</v>
      </c>
      <c r="F110" s="9" t="s">
        <v>279</v>
      </c>
      <c r="G110" s="7" t="s">
        <v>1441</v>
      </c>
      <c r="H110" s="9" t="s">
        <v>1618</v>
      </c>
      <c r="I110" s="8" t="n">
        <v>46352</v>
      </c>
      <c r="J110" s="7" t="s">
        <v>1222</v>
      </c>
    </row>
    <row r="111" customFormat="false" ht="31.5" hidden="false" customHeight="true" outlineLevel="0" collapsed="false">
      <c r="A111" s="15" t="s">
        <v>1619</v>
      </c>
      <c r="B111" s="7" t="s">
        <v>277</v>
      </c>
      <c r="C111" s="9" t="s">
        <v>876</v>
      </c>
      <c r="D111" s="7" t="s">
        <v>34</v>
      </c>
      <c r="E111" s="9" t="s">
        <v>584</v>
      </c>
      <c r="F111" s="9" t="s">
        <v>37</v>
      </c>
      <c r="G111" s="7" t="s">
        <v>1441</v>
      </c>
      <c r="H111" s="9" t="s">
        <v>1620</v>
      </c>
      <c r="I111" s="8" t="n">
        <v>46352</v>
      </c>
      <c r="J111" s="7" t="s">
        <v>1222</v>
      </c>
    </row>
    <row r="112" customFormat="false" ht="31.5" hidden="false" customHeight="true" outlineLevel="0" collapsed="false">
      <c r="A112" s="15" t="s">
        <v>1621</v>
      </c>
      <c r="B112" s="7" t="s">
        <v>277</v>
      </c>
      <c r="C112" s="9" t="s">
        <v>876</v>
      </c>
      <c r="D112" s="7" t="s">
        <v>43</v>
      </c>
      <c r="E112" s="9" t="s">
        <v>596</v>
      </c>
      <c r="F112" s="9" t="s">
        <v>46</v>
      </c>
      <c r="G112" s="7" t="s">
        <v>1451</v>
      </c>
      <c r="H112" s="9" t="s">
        <v>1620</v>
      </c>
      <c r="I112" s="8" t="n">
        <v>46352</v>
      </c>
      <c r="J112" s="7" t="s">
        <v>1222</v>
      </c>
    </row>
    <row r="113" customFormat="false" ht="31.5" hidden="false" customHeight="true" outlineLevel="0" collapsed="false">
      <c r="A113" s="15" t="s">
        <v>1622</v>
      </c>
      <c r="B113" s="7" t="s">
        <v>277</v>
      </c>
      <c r="C113" s="9" t="s">
        <v>876</v>
      </c>
      <c r="D113" s="7" t="s">
        <v>53</v>
      </c>
      <c r="E113" s="9" t="s">
        <v>608</v>
      </c>
      <c r="F113" s="9" t="s">
        <v>56</v>
      </c>
      <c r="G113" s="7" t="s">
        <v>1441</v>
      </c>
      <c r="H113" s="9" t="s">
        <v>1620</v>
      </c>
      <c r="I113" s="8" t="n">
        <v>46352</v>
      </c>
      <c r="J113" s="7" t="s">
        <v>1222</v>
      </c>
    </row>
    <row r="114" customFormat="false" ht="31.5" hidden="false" customHeight="true" outlineLevel="0" collapsed="false">
      <c r="A114" s="15" t="s">
        <v>1623</v>
      </c>
      <c r="B114" s="7" t="s">
        <v>34</v>
      </c>
      <c r="C114" s="9" t="s">
        <v>584</v>
      </c>
      <c r="D114" s="7" t="s">
        <v>286</v>
      </c>
      <c r="E114" s="9" t="s">
        <v>887</v>
      </c>
      <c r="F114" s="9" t="s">
        <v>288</v>
      </c>
      <c r="G114" s="7" t="s">
        <v>1441</v>
      </c>
      <c r="H114" s="9" t="s">
        <v>1624</v>
      </c>
      <c r="I114" s="8" t="n">
        <v>46354</v>
      </c>
      <c r="J114" s="7" t="s">
        <v>1222</v>
      </c>
    </row>
    <row r="115" customFormat="false" ht="31.5" hidden="false" customHeight="true" outlineLevel="0" collapsed="false">
      <c r="A115" s="15" t="s">
        <v>1625</v>
      </c>
      <c r="B115" s="7" t="s">
        <v>53</v>
      </c>
      <c r="C115" s="9" t="s">
        <v>608</v>
      </c>
      <c r="D115" s="7" t="s">
        <v>286</v>
      </c>
      <c r="E115" s="9" t="s">
        <v>887</v>
      </c>
      <c r="F115" s="9" t="s">
        <v>288</v>
      </c>
      <c r="G115" s="7" t="s">
        <v>1451</v>
      </c>
      <c r="H115" s="9" t="s">
        <v>1626</v>
      </c>
      <c r="I115" s="8" t="n">
        <v>46354</v>
      </c>
      <c r="J115" s="7" t="s">
        <v>1222</v>
      </c>
    </row>
    <row r="116" customFormat="false" ht="31.5" hidden="false" customHeight="true" outlineLevel="0" collapsed="false">
      <c r="A116" s="15" t="s">
        <v>1627</v>
      </c>
      <c r="B116" s="7" t="s">
        <v>124</v>
      </c>
      <c r="C116" s="9" t="s">
        <v>690</v>
      </c>
      <c r="D116" s="7" t="s">
        <v>286</v>
      </c>
      <c r="E116" s="9" t="s">
        <v>887</v>
      </c>
      <c r="F116" s="9" t="s">
        <v>288</v>
      </c>
      <c r="G116" s="7" t="s">
        <v>1441</v>
      </c>
      <c r="H116" s="9" t="s">
        <v>1628</v>
      </c>
      <c r="I116" s="8" t="n">
        <v>46354</v>
      </c>
      <c r="J116" s="7" t="s">
        <v>1222</v>
      </c>
    </row>
    <row r="117" customFormat="false" ht="31.5" hidden="false" customHeight="true" outlineLevel="0" collapsed="false">
      <c r="A117" s="15" t="s">
        <v>1629</v>
      </c>
      <c r="B117" s="7" t="s">
        <v>145</v>
      </c>
      <c r="C117" s="9" t="s">
        <v>711</v>
      </c>
      <c r="D117" s="7" t="s">
        <v>286</v>
      </c>
      <c r="E117" s="9" t="s">
        <v>887</v>
      </c>
      <c r="F117" s="9" t="s">
        <v>288</v>
      </c>
      <c r="G117" s="7" t="s">
        <v>1441</v>
      </c>
      <c r="H117" s="9" t="s">
        <v>1630</v>
      </c>
      <c r="I117" s="8" t="n">
        <v>46354</v>
      </c>
      <c r="J117" s="7" t="s">
        <v>1222</v>
      </c>
    </row>
    <row r="118" customFormat="false" ht="31.5" hidden="false" customHeight="true" outlineLevel="0" collapsed="false">
      <c r="A118" s="15" t="s">
        <v>1631</v>
      </c>
      <c r="B118" s="7" t="s">
        <v>286</v>
      </c>
      <c r="C118" s="9" t="s">
        <v>887</v>
      </c>
      <c r="D118" s="7" t="s">
        <v>34</v>
      </c>
      <c r="E118" s="9" t="s">
        <v>584</v>
      </c>
      <c r="F118" s="9" t="s">
        <v>37</v>
      </c>
      <c r="G118" s="7" t="s">
        <v>1441</v>
      </c>
      <c r="H118" s="9" t="s">
        <v>1632</v>
      </c>
      <c r="I118" s="8" t="n">
        <v>46354</v>
      </c>
      <c r="J118" s="7" t="s">
        <v>1222</v>
      </c>
    </row>
    <row r="119" customFormat="false" ht="31.5" hidden="false" customHeight="true" outlineLevel="0" collapsed="false">
      <c r="A119" s="15" t="s">
        <v>1633</v>
      </c>
      <c r="B119" s="7" t="s">
        <v>286</v>
      </c>
      <c r="C119" s="9" t="s">
        <v>887</v>
      </c>
      <c r="D119" s="7" t="s">
        <v>53</v>
      </c>
      <c r="E119" s="9" t="s">
        <v>608</v>
      </c>
      <c r="F119" s="9" t="s">
        <v>56</v>
      </c>
      <c r="G119" s="7" t="s">
        <v>1451</v>
      </c>
      <c r="H119" s="9" t="s">
        <v>1632</v>
      </c>
      <c r="I119" s="8" t="n">
        <v>46354</v>
      </c>
      <c r="J119" s="7" t="s">
        <v>1222</v>
      </c>
    </row>
    <row r="120" customFormat="false" ht="31.5" hidden="false" customHeight="true" outlineLevel="0" collapsed="false">
      <c r="A120" s="15" t="s">
        <v>1634</v>
      </c>
      <c r="B120" s="7" t="s">
        <v>286</v>
      </c>
      <c r="C120" s="9" t="s">
        <v>887</v>
      </c>
      <c r="D120" s="7" t="s">
        <v>124</v>
      </c>
      <c r="E120" s="9" t="s">
        <v>690</v>
      </c>
      <c r="F120" s="9" t="s">
        <v>128</v>
      </c>
      <c r="G120" s="7" t="s">
        <v>1441</v>
      </c>
      <c r="H120" s="9" t="s">
        <v>1632</v>
      </c>
      <c r="I120" s="8" t="n">
        <v>46354</v>
      </c>
      <c r="J120" s="7" t="s">
        <v>1222</v>
      </c>
    </row>
    <row r="121" customFormat="false" ht="31.5" hidden="false" customHeight="true" outlineLevel="0" collapsed="false">
      <c r="A121" s="15" t="s">
        <v>1635</v>
      </c>
      <c r="B121" s="7" t="s">
        <v>286</v>
      </c>
      <c r="C121" s="9" t="s">
        <v>887</v>
      </c>
      <c r="D121" s="7" t="s">
        <v>145</v>
      </c>
      <c r="E121" s="9" t="s">
        <v>711</v>
      </c>
      <c r="F121" s="9" t="s">
        <v>147</v>
      </c>
      <c r="G121" s="7" t="s">
        <v>1441</v>
      </c>
      <c r="H121" s="9" t="s">
        <v>1632</v>
      </c>
      <c r="I121" s="8" t="n">
        <v>46354</v>
      </c>
      <c r="J121" s="7" t="s">
        <v>1222</v>
      </c>
    </row>
    <row r="122" customFormat="false" ht="31.5" hidden="false" customHeight="true" outlineLevel="0" collapsed="false">
      <c r="A122" s="15" t="s">
        <v>1636</v>
      </c>
      <c r="B122" s="7" t="s">
        <v>73</v>
      </c>
      <c r="C122" s="9" t="s">
        <v>631</v>
      </c>
      <c r="D122" s="7" t="s">
        <v>295</v>
      </c>
      <c r="E122" s="9" t="s">
        <v>898</v>
      </c>
      <c r="F122" s="9" t="s">
        <v>298</v>
      </c>
      <c r="G122" s="7" t="s">
        <v>1441</v>
      </c>
      <c r="H122" s="9" t="s">
        <v>1637</v>
      </c>
      <c r="I122" s="8" t="n">
        <v>46357</v>
      </c>
      <c r="J122" s="7" t="s">
        <v>1222</v>
      </c>
    </row>
    <row r="123" customFormat="false" ht="31.5" hidden="false" customHeight="true" outlineLevel="0" collapsed="false">
      <c r="A123" s="15" t="s">
        <v>1638</v>
      </c>
      <c r="B123" s="7" t="s">
        <v>92</v>
      </c>
      <c r="C123" s="9" t="s">
        <v>653</v>
      </c>
      <c r="D123" s="7" t="s">
        <v>295</v>
      </c>
      <c r="E123" s="9" t="s">
        <v>898</v>
      </c>
      <c r="F123" s="9" t="s">
        <v>298</v>
      </c>
      <c r="G123" s="7" t="s">
        <v>1451</v>
      </c>
      <c r="H123" s="9" t="s">
        <v>1639</v>
      </c>
      <c r="I123" s="8" t="n">
        <v>46357</v>
      </c>
      <c r="J123" s="7" t="s">
        <v>1222</v>
      </c>
    </row>
    <row r="124" customFormat="false" ht="31.5" hidden="false" customHeight="true" outlineLevel="0" collapsed="false">
      <c r="A124" s="15" t="s">
        <v>1640</v>
      </c>
      <c r="B124" s="7" t="s">
        <v>244</v>
      </c>
      <c r="C124" s="9" t="s">
        <v>831</v>
      </c>
      <c r="D124" s="7" t="s">
        <v>295</v>
      </c>
      <c r="E124" s="9" t="s">
        <v>898</v>
      </c>
      <c r="F124" s="9" t="s">
        <v>298</v>
      </c>
      <c r="G124" s="7" t="s">
        <v>1441</v>
      </c>
      <c r="H124" s="9" t="s">
        <v>1641</v>
      </c>
      <c r="I124" s="8" t="n">
        <v>46357</v>
      </c>
      <c r="J124" s="7" t="s">
        <v>1222</v>
      </c>
    </row>
    <row r="125" customFormat="false" ht="31.5" hidden="false" customHeight="true" outlineLevel="0" collapsed="false">
      <c r="A125" s="15" t="s">
        <v>1642</v>
      </c>
      <c r="B125" s="7" t="s">
        <v>277</v>
      </c>
      <c r="C125" s="9" t="s">
        <v>876</v>
      </c>
      <c r="D125" s="7" t="s">
        <v>295</v>
      </c>
      <c r="E125" s="9" t="s">
        <v>898</v>
      </c>
      <c r="F125" s="9" t="s">
        <v>298</v>
      </c>
      <c r="G125" s="7" t="s">
        <v>1441</v>
      </c>
      <c r="H125" s="9" t="s">
        <v>1643</v>
      </c>
      <c r="I125" s="8" t="n">
        <v>46357</v>
      </c>
      <c r="J125" s="7" t="s">
        <v>1222</v>
      </c>
    </row>
    <row r="126" customFormat="false" ht="31.5" hidden="false" customHeight="true" outlineLevel="0" collapsed="false">
      <c r="A126" s="15" t="s">
        <v>1644</v>
      </c>
      <c r="B126" s="7" t="s">
        <v>295</v>
      </c>
      <c r="C126" s="9" t="s">
        <v>898</v>
      </c>
      <c r="D126" s="7" t="s">
        <v>73</v>
      </c>
      <c r="E126" s="9" t="s">
        <v>631</v>
      </c>
      <c r="F126" s="9" t="s">
        <v>76</v>
      </c>
      <c r="G126" s="7" t="s">
        <v>1441</v>
      </c>
      <c r="H126" s="9" t="s">
        <v>1645</v>
      </c>
      <c r="I126" s="8" t="n">
        <v>46357</v>
      </c>
      <c r="J126" s="7" t="s">
        <v>1222</v>
      </c>
    </row>
    <row r="127" customFormat="false" ht="31.5" hidden="false" customHeight="true" outlineLevel="0" collapsed="false">
      <c r="A127" s="15" t="s">
        <v>1646</v>
      </c>
      <c r="B127" s="7" t="s">
        <v>295</v>
      </c>
      <c r="C127" s="9" t="s">
        <v>898</v>
      </c>
      <c r="D127" s="7" t="s">
        <v>92</v>
      </c>
      <c r="E127" s="9" t="s">
        <v>653</v>
      </c>
      <c r="F127" s="9" t="s">
        <v>94</v>
      </c>
      <c r="G127" s="7" t="s">
        <v>1451</v>
      </c>
      <c r="H127" s="9" t="s">
        <v>1645</v>
      </c>
      <c r="I127" s="8" t="n">
        <v>46357</v>
      </c>
      <c r="J127" s="7" t="s">
        <v>1222</v>
      </c>
    </row>
    <row r="128" customFormat="false" ht="31.5" hidden="false" customHeight="true" outlineLevel="0" collapsed="false">
      <c r="A128" s="15" t="s">
        <v>1647</v>
      </c>
      <c r="B128" s="7" t="s">
        <v>295</v>
      </c>
      <c r="C128" s="9" t="s">
        <v>898</v>
      </c>
      <c r="D128" s="7" t="s">
        <v>244</v>
      </c>
      <c r="E128" s="9" t="s">
        <v>831</v>
      </c>
      <c r="F128" s="9" t="s">
        <v>246</v>
      </c>
      <c r="G128" s="7" t="s">
        <v>1441</v>
      </c>
      <c r="H128" s="9" t="s">
        <v>1645</v>
      </c>
      <c r="I128" s="8" t="n">
        <v>46357</v>
      </c>
      <c r="J128" s="7" t="s">
        <v>1222</v>
      </c>
    </row>
    <row r="129" customFormat="false" ht="31.5" hidden="false" customHeight="true" outlineLevel="0" collapsed="false">
      <c r="A129" s="15" t="s">
        <v>1648</v>
      </c>
      <c r="B129" s="7" t="s">
        <v>295</v>
      </c>
      <c r="C129" s="9" t="s">
        <v>898</v>
      </c>
      <c r="D129" s="7" t="s">
        <v>277</v>
      </c>
      <c r="E129" s="9" t="s">
        <v>876</v>
      </c>
      <c r="F129" s="9" t="s">
        <v>279</v>
      </c>
      <c r="G129" s="7" t="s">
        <v>1441</v>
      </c>
      <c r="H129" s="9" t="s">
        <v>1645</v>
      </c>
      <c r="I129" s="8" t="n">
        <v>46357</v>
      </c>
      <c r="J129" s="7" t="s">
        <v>1222</v>
      </c>
    </row>
    <row r="130" customFormat="false" ht="31.5" hidden="false" customHeight="true" outlineLevel="0" collapsed="false">
      <c r="A130" s="15" t="s">
        <v>1649</v>
      </c>
      <c r="B130" s="7" t="s">
        <v>92</v>
      </c>
      <c r="C130" s="9" t="s">
        <v>653</v>
      </c>
      <c r="D130" s="7" t="s">
        <v>305</v>
      </c>
      <c r="E130" s="9" t="s">
        <v>910</v>
      </c>
      <c r="F130" s="9" t="s">
        <v>307</v>
      </c>
      <c r="G130" s="7" t="s">
        <v>1441</v>
      </c>
      <c r="H130" s="9" t="s">
        <v>1650</v>
      </c>
      <c r="I130" s="8" t="n">
        <v>46359</v>
      </c>
      <c r="J130" s="7" t="s">
        <v>1222</v>
      </c>
    </row>
    <row r="131" customFormat="false" ht="31.5" hidden="false" customHeight="true" outlineLevel="0" collapsed="false">
      <c r="A131" s="15" t="s">
        <v>1651</v>
      </c>
      <c r="B131" s="7" t="s">
        <v>199</v>
      </c>
      <c r="C131" s="9" t="s">
        <v>777</v>
      </c>
      <c r="D131" s="7" t="s">
        <v>305</v>
      </c>
      <c r="E131" s="9" t="s">
        <v>910</v>
      </c>
      <c r="F131" s="9" t="s">
        <v>307</v>
      </c>
      <c r="G131" s="7" t="s">
        <v>1451</v>
      </c>
      <c r="H131" s="9" t="s">
        <v>1652</v>
      </c>
      <c r="I131" s="8" t="n">
        <v>46359</v>
      </c>
      <c r="J131" s="7" t="s">
        <v>1222</v>
      </c>
    </row>
    <row r="132" customFormat="false" ht="31.5" hidden="false" customHeight="true" outlineLevel="0" collapsed="false">
      <c r="A132" s="15" t="s">
        <v>1653</v>
      </c>
      <c r="B132" s="7" t="s">
        <v>305</v>
      </c>
      <c r="C132" s="9" t="s">
        <v>910</v>
      </c>
      <c r="D132" s="7" t="s">
        <v>92</v>
      </c>
      <c r="E132" s="9" t="s">
        <v>653</v>
      </c>
      <c r="F132" s="9" t="s">
        <v>94</v>
      </c>
      <c r="G132" s="7" t="s">
        <v>1441</v>
      </c>
      <c r="H132" s="9" t="s">
        <v>1654</v>
      </c>
      <c r="I132" s="8" t="n">
        <v>46359</v>
      </c>
      <c r="J132" s="7" t="s">
        <v>1222</v>
      </c>
    </row>
    <row r="133" customFormat="false" ht="31.5" hidden="false" customHeight="true" outlineLevel="0" collapsed="false">
      <c r="A133" s="15" t="s">
        <v>1655</v>
      </c>
      <c r="B133" s="7" t="s">
        <v>305</v>
      </c>
      <c r="C133" s="9" t="s">
        <v>910</v>
      </c>
      <c r="D133" s="7" t="s">
        <v>199</v>
      </c>
      <c r="E133" s="9" t="s">
        <v>777</v>
      </c>
      <c r="F133" s="9" t="s">
        <v>202</v>
      </c>
      <c r="G133" s="7" t="s">
        <v>1451</v>
      </c>
      <c r="H133" s="9" t="s">
        <v>1654</v>
      </c>
      <c r="I133" s="8" t="n">
        <v>46359</v>
      </c>
      <c r="J133" s="7" t="s">
        <v>1222</v>
      </c>
    </row>
    <row r="134" customFormat="false" ht="31.5" hidden="false" customHeight="true" outlineLevel="0" collapsed="false">
      <c r="A134" s="15" t="s">
        <v>1656</v>
      </c>
      <c r="B134" s="7" t="s">
        <v>53</v>
      </c>
      <c r="C134" s="9" t="s">
        <v>608</v>
      </c>
      <c r="D134" s="7" t="s">
        <v>313</v>
      </c>
      <c r="E134" s="9" t="s">
        <v>921</v>
      </c>
      <c r="F134" s="9" t="s">
        <v>315</v>
      </c>
      <c r="G134" s="7" t="s">
        <v>1451</v>
      </c>
      <c r="H134" s="9" t="s">
        <v>1657</v>
      </c>
      <c r="I134" s="8" t="n">
        <v>46361</v>
      </c>
      <c r="J134" s="7" t="s">
        <v>1222</v>
      </c>
    </row>
    <row r="135" customFormat="false" ht="31.5" hidden="false" customHeight="true" outlineLevel="0" collapsed="false">
      <c r="A135" s="15" t="s">
        <v>1658</v>
      </c>
      <c r="B135" s="7" t="s">
        <v>124</v>
      </c>
      <c r="C135" s="9" t="s">
        <v>690</v>
      </c>
      <c r="D135" s="7" t="s">
        <v>313</v>
      </c>
      <c r="E135" s="9" t="s">
        <v>921</v>
      </c>
      <c r="F135" s="9" t="s">
        <v>315</v>
      </c>
      <c r="G135" s="7" t="s">
        <v>1441</v>
      </c>
      <c r="H135" s="9" t="s">
        <v>1659</v>
      </c>
      <c r="I135" s="8" t="n">
        <v>46361</v>
      </c>
      <c r="J135" s="7" t="s">
        <v>1222</v>
      </c>
    </row>
    <row r="136" customFormat="false" ht="31.5" hidden="false" customHeight="true" outlineLevel="0" collapsed="false">
      <c r="A136" s="15" t="s">
        <v>1660</v>
      </c>
      <c r="B136" s="7" t="s">
        <v>145</v>
      </c>
      <c r="C136" s="9" t="s">
        <v>711</v>
      </c>
      <c r="D136" s="7" t="s">
        <v>313</v>
      </c>
      <c r="E136" s="9" t="s">
        <v>921</v>
      </c>
      <c r="F136" s="9" t="s">
        <v>315</v>
      </c>
      <c r="G136" s="7" t="s">
        <v>1441</v>
      </c>
      <c r="H136" s="9" t="s">
        <v>1661</v>
      </c>
      <c r="I136" s="8" t="n">
        <v>46361</v>
      </c>
      <c r="J136" s="7" t="s">
        <v>1222</v>
      </c>
    </row>
    <row r="137" customFormat="false" ht="31.5" hidden="false" customHeight="true" outlineLevel="0" collapsed="false">
      <c r="A137" s="15" t="s">
        <v>1662</v>
      </c>
      <c r="B137" s="7" t="s">
        <v>286</v>
      </c>
      <c r="C137" s="9" t="s">
        <v>887</v>
      </c>
      <c r="D137" s="7" t="s">
        <v>313</v>
      </c>
      <c r="E137" s="9" t="s">
        <v>921</v>
      </c>
      <c r="F137" s="9" t="s">
        <v>315</v>
      </c>
      <c r="G137" s="7" t="s">
        <v>1441</v>
      </c>
      <c r="H137" s="9" t="s">
        <v>1663</v>
      </c>
      <c r="I137" s="8" t="n">
        <v>46361</v>
      </c>
      <c r="J137" s="7" t="s">
        <v>1222</v>
      </c>
    </row>
    <row r="138" customFormat="false" ht="31.5" hidden="false" customHeight="true" outlineLevel="0" collapsed="false">
      <c r="A138" s="15" t="s">
        <v>1664</v>
      </c>
      <c r="B138" s="7" t="s">
        <v>313</v>
      </c>
      <c r="C138" s="9" t="s">
        <v>921</v>
      </c>
      <c r="D138" s="7" t="s">
        <v>53</v>
      </c>
      <c r="E138" s="9" t="s">
        <v>608</v>
      </c>
      <c r="F138" s="9" t="s">
        <v>56</v>
      </c>
      <c r="G138" s="7" t="s">
        <v>1451</v>
      </c>
      <c r="H138" s="9" t="s">
        <v>1665</v>
      </c>
      <c r="I138" s="8" t="n">
        <v>46361</v>
      </c>
      <c r="J138" s="7" t="s">
        <v>1222</v>
      </c>
    </row>
    <row r="139" customFormat="false" ht="31.5" hidden="false" customHeight="true" outlineLevel="0" collapsed="false">
      <c r="A139" s="15" t="s">
        <v>1666</v>
      </c>
      <c r="B139" s="7" t="s">
        <v>313</v>
      </c>
      <c r="C139" s="9" t="s">
        <v>921</v>
      </c>
      <c r="D139" s="7" t="s">
        <v>124</v>
      </c>
      <c r="E139" s="9" t="s">
        <v>690</v>
      </c>
      <c r="F139" s="9" t="s">
        <v>128</v>
      </c>
      <c r="G139" s="7" t="s">
        <v>1441</v>
      </c>
      <c r="H139" s="9" t="s">
        <v>1665</v>
      </c>
      <c r="I139" s="8" t="n">
        <v>46361</v>
      </c>
      <c r="J139" s="7" t="s">
        <v>1222</v>
      </c>
    </row>
    <row r="140" customFormat="false" ht="31.5" hidden="false" customHeight="true" outlineLevel="0" collapsed="false">
      <c r="A140" s="15" t="s">
        <v>1667</v>
      </c>
      <c r="B140" s="7" t="s">
        <v>313</v>
      </c>
      <c r="C140" s="9" t="s">
        <v>921</v>
      </c>
      <c r="D140" s="7" t="s">
        <v>145</v>
      </c>
      <c r="E140" s="9" t="s">
        <v>711</v>
      </c>
      <c r="F140" s="9" t="s">
        <v>147</v>
      </c>
      <c r="G140" s="7" t="s">
        <v>1441</v>
      </c>
      <c r="H140" s="9" t="s">
        <v>1665</v>
      </c>
      <c r="I140" s="8" t="n">
        <v>46361</v>
      </c>
      <c r="J140" s="7" t="s">
        <v>1222</v>
      </c>
    </row>
    <row r="141" customFormat="false" ht="31.5" hidden="false" customHeight="true" outlineLevel="0" collapsed="false">
      <c r="A141" s="15" t="s">
        <v>1668</v>
      </c>
      <c r="B141" s="7" t="s">
        <v>313</v>
      </c>
      <c r="C141" s="9" t="s">
        <v>921</v>
      </c>
      <c r="D141" s="7" t="s">
        <v>286</v>
      </c>
      <c r="E141" s="9" t="s">
        <v>887</v>
      </c>
      <c r="F141" s="9" t="s">
        <v>288</v>
      </c>
      <c r="G141" s="7" t="s">
        <v>1441</v>
      </c>
      <c r="H141" s="9" t="s">
        <v>1665</v>
      </c>
      <c r="I141" s="8" t="n">
        <v>46361</v>
      </c>
      <c r="J141" s="7" t="s">
        <v>1222</v>
      </c>
    </row>
    <row r="142" customFormat="false" ht="31.5" hidden="false" customHeight="true" outlineLevel="0" collapsed="false">
      <c r="A142" s="15" t="s">
        <v>1669</v>
      </c>
      <c r="B142" s="7" t="s">
        <v>18</v>
      </c>
      <c r="C142" s="9" t="s">
        <v>568</v>
      </c>
      <c r="D142" s="7" t="s">
        <v>321</v>
      </c>
      <c r="E142" s="9" t="s">
        <v>931</v>
      </c>
      <c r="F142" s="9" t="s">
        <v>323</v>
      </c>
      <c r="G142" s="7" t="s">
        <v>1441</v>
      </c>
      <c r="H142" s="9" t="s">
        <v>1670</v>
      </c>
      <c r="I142" s="8" t="n">
        <v>46364</v>
      </c>
      <c r="J142" s="7" t="s">
        <v>1222</v>
      </c>
    </row>
    <row r="143" customFormat="false" ht="31.5" hidden="false" customHeight="true" outlineLevel="0" collapsed="false">
      <c r="A143" s="15" t="s">
        <v>1671</v>
      </c>
      <c r="B143" s="7" t="s">
        <v>43</v>
      </c>
      <c r="C143" s="9" t="s">
        <v>596</v>
      </c>
      <c r="D143" s="7" t="s">
        <v>321</v>
      </c>
      <c r="E143" s="9" t="s">
        <v>931</v>
      </c>
      <c r="F143" s="9" t="s">
        <v>323</v>
      </c>
      <c r="G143" s="7" t="s">
        <v>1441</v>
      </c>
      <c r="H143" s="9" t="s">
        <v>1672</v>
      </c>
      <c r="I143" s="8" t="n">
        <v>46364</v>
      </c>
      <c r="J143" s="7" t="s">
        <v>1222</v>
      </c>
    </row>
    <row r="144" customFormat="false" ht="31.5" hidden="false" customHeight="true" outlineLevel="0" collapsed="false">
      <c r="A144" s="15" t="s">
        <v>1673</v>
      </c>
      <c r="B144" s="7" t="s">
        <v>199</v>
      </c>
      <c r="C144" s="9" t="s">
        <v>777</v>
      </c>
      <c r="D144" s="7" t="s">
        <v>321</v>
      </c>
      <c r="E144" s="9" t="s">
        <v>931</v>
      </c>
      <c r="F144" s="9" t="s">
        <v>323</v>
      </c>
      <c r="G144" s="7" t="s">
        <v>1451</v>
      </c>
      <c r="H144" s="9" t="s">
        <v>1674</v>
      </c>
      <c r="I144" s="8" t="n">
        <v>46364</v>
      </c>
      <c r="J144" s="7" t="s">
        <v>1222</v>
      </c>
    </row>
    <row r="145" customFormat="false" ht="31.5" hidden="false" customHeight="true" outlineLevel="0" collapsed="false">
      <c r="A145" s="15" t="s">
        <v>1675</v>
      </c>
      <c r="B145" s="7" t="s">
        <v>268</v>
      </c>
      <c r="C145" s="9" t="s">
        <v>864</v>
      </c>
      <c r="D145" s="7" t="s">
        <v>321</v>
      </c>
      <c r="E145" s="9" t="s">
        <v>931</v>
      </c>
      <c r="F145" s="9" t="s">
        <v>323</v>
      </c>
      <c r="G145" s="7" t="s">
        <v>1441</v>
      </c>
      <c r="H145" s="9" t="s">
        <v>1676</v>
      </c>
      <c r="I145" s="8" t="n">
        <v>46364</v>
      </c>
      <c r="J145" s="7" t="s">
        <v>1222</v>
      </c>
    </row>
    <row r="146" customFormat="false" ht="31.5" hidden="false" customHeight="true" outlineLevel="0" collapsed="false">
      <c r="A146" s="15" t="s">
        <v>1677</v>
      </c>
      <c r="B146" s="7" t="s">
        <v>321</v>
      </c>
      <c r="C146" s="9" t="s">
        <v>931</v>
      </c>
      <c r="D146" s="7" t="s">
        <v>18</v>
      </c>
      <c r="E146" s="9" t="s">
        <v>568</v>
      </c>
      <c r="F146" s="9" t="s">
        <v>24</v>
      </c>
      <c r="G146" s="7" t="s">
        <v>1441</v>
      </c>
      <c r="H146" s="9" t="s">
        <v>1678</v>
      </c>
      <c r="I146" s="8" t="n">
        <v>46364</v>
      </c>
      <c r="J146" s="7" t="s">
        <v>1222</v>
      </c>
    </row>
    <row r="147" customFormat="false" ht="31.5" hidden="false" customHeight="true" outlineLevel="0" collapsed="false">
      <c r="A147" s="15" t="s">
        <v>1679</v>
      </c>
      <c r="B147" s="7" t="s">
        <v>321</v>
      </c>
      <c r="C147" s="9" t="s">
        <v>931</v>
      </c>
      <c r="D147" s="7" t="s">
        <v>43</v>
      </c>
      <c r="E147" s="9" t="s">
        <v>596</v>
      </c>
      <c r="F147" s="9" t="s">
        <v>46</v>
      </c>
      <c r="G147" s="7" t="s">
        <v>1441</v>
      </c>
      <c r="H147" s="9" t="s">
        <v>1678</v>
      </c>
      <c r="I147" s="8" t="n">
        <v>46364</v>
      </c>
      <c r="J147" s="7" t="s">
        <v>1222</v>
      </c>
    </row>
    <row r="148" customFormat="false" ht="31.5" hidden="false" customHeight="true" outlineLevel="0" collapsed="false">
      <c r="A148" s="15" t="s">
        <v>1680</v>
      </c>
      <c r="B148" s="7" t="s">
        <v>321</v>
      </c>
      <c r="C148" s="9" t="s">
        <v>931</v>
      </c>
      <c r="D148" s="7" t="s">
        <v>199</v>
      </c>
      <c r="E148" s="9" t="s">
        <v>777</v>
      </c>
      <c r="F148" s="9" t="s">
        <v>202</v>
      </c>
      <c r="G148" s="7" t="s">
        <v>1451</v>
      </c>
      <c r="H148" s="9" t="s">
        <v>1678</v>
      </c>
      <c r="I148" s="8" t="n">
        <v>46364</v>
      </c>
      <c r="J148" s="7" t="s">
        <v>1222</v>
      </c>
    </row>
    <row r="149" customFormat="false" ht="31.5" hidden="false" customHeight="true" outlineLevel="0" collapsed="false">
      <c r="A149" s="15" t="s">
        <v>1681</v>
      </c>
      <c r="B149" s="7" t="s">
        <v>321</v>
      </c>
      <c r="C149" s="9" t="s">
        <v>931</v>
      </c>
      <c r="D149" s="7" t="s">
        <v>268</v>
      </c>
      <c r="E149" s="9" t="s">
        <v>864</v>
      </c>
      <c r="F149" s="9" t="s">
        <v>270</v>
      </c>
      <c r="G149" s="7" t="s">
        <v>1441</v>
      </c>
      <c r="H149" s="9" t="s">
        <v>1678</v>
      </c>
      <c r="I149" s="8" t="n">
        <v>46364</v>
      </c>
      <c r="J149" s="7" t="s">
        <v>1222</v>
      </c>
    </row>
    <row r="150" customFormat="false" ht="31.5" hidden="false" customHeight="true" outlineLevel="0" collapsed="false">
      <c r="A150" s="15" t="s">
        <v>1682</v>
      </c>
      <c r="B150" s="7" t="s">
        <v>135</v>
      </c>
      <c r="C150" s="9" t="s">
        <v>701</v>
      </c>
      <c r="D150" s="7" t="s">
        <v>330</v>
      </c>
      <c r="E150" s="9" t="s">
        <v>942</v>
      </c>
      <c r="F150" s="9" t="s">
        <v>332</v>
      </c>
      <c r="G150" s="7" t="s">
        <v>1451</v>
      </c>
      <c r="H150" s="9" t="s">
        <v>1683</v>
      </c>
      <c r="I150" s="8" t="n">
        <v>46366</v>
      </c>
      <c r="J150" s="7" t="s">
        <v>1222</v>
      </c>
    </row>
    <row r="151" customFormat="false" ht="31.5" hidden="false" customHeight="true" outlineLevel="0" collapsed="false">
      <c r="A151" s="15" t="s">
        <v>1684</v>
      </c>
      <c r="B151" s="7" t="s">
        <v>330</v>
      </c>
      <c r="C151" s="9" t="s">
        <v>942</v>
      </c>
      <c r="D151" s="7" t="s">
        <v>135</v>
      </c>
      <c r="E151" s="9" t="s">
        <v>701</v>
      </c>
      <c r="F151" s="9" t="s">
        <v>138</v>
      </c>
      <c r="G151" s="7" t="s">
        <v>1451</v>
      </c>
      <c r="H151" s="9" t="s">
        <v>1685</v>
      </c>
      <c r="I151" s="8" t="n">
        <v>46366</v>
      </c>
      <c r="J151" s="7" t="s">
        <v>1222</v>
      </c>
    </row>
    <row r="152" customFormat="false" ht="31.5" hidden="false" customHeight="true" outlineLevel="0" collapsed="false">
      <c r="A152" s="15" t="s">
        <v>1686</v>
      </c>
      <c r="B152" s="7" t="s">
        <v>34</v>
      </c>
      <c r="C152" s="9" t="s">
        <v>584</v>
      </c>
      <c r="D152" s="7" t="s">
        <v>339</v>
      </c>
      <c r="E152" s="9" t="s">
        <v>954</v>
      </c>
      <c r="F152" s="9" t="s">
        <v>341</v>
      </c>
      <c r="G152" s="7" t="s">
        <v>1451</v>
      </c>
      <c r="H152" s="9" t="s">
        <v>1687</v>
      </c>
      <c r="I152" s="8" t="n">
        <v>46368</v>
      </c>
      <c r="J152" s="7" t="s">
        <v>1222</v>
      </c>
    </row>
    <row r="153" customFormat="false" ht="31.5" hidden="false" customHeight="true" outlineLevel="0" collapsed="false">
      <c r="A153" s="15" t="s">
        <v>1688</v>
      </c>
      <c r="B153" s="7" t="s">
        <v>330</v>
      </c>
      <c r="C153" s="9" t="s">
        <v>942</v>
      </c>
      <c r="D153" s="7" t="s">
        <v>339</v>
      </c>
      <c r="E153" s="9" t="s">
        <v>954</v>
      </c>
      <c r="F153" s="9" t="s">
        <v>341</v>
      </c>
      <c r="G153" s="7" t="s">
        <v>1441</v>
      </c>
      <c r="H153" s="9" t="s">
        <v>1689</v>
      </c>
      <c r="I153" s="8" t="n">
        <v>46368</v>
      </c>
      <c r="J153" s="7" t="s">
        <v>1222</v>
      </c>
    </row>
    <row r="154" customFormat="false" ht="31.5" hidden="false" customHeight="true" outlineLevel="0" collapsed="false">
      <c r="A154" s="15" t="s">
        <v>1690</v>
      </c>
      <c r="B154" s="7" t="s">
        <v>339</v>
      </c>
      <c r="C154" s="9" t="s">
        <v>954</v>
      </c>
      <c r="D154" s="7" t="s">
        <v>34</v>
      </c>
      <c r="E154" s="9" t="s">
        <v>584</v>
      </c>
      <c r="F154" s="9" t="s">
        <v>37</v>
      </c>
      <c r="G154" s="7" t="s">
        <v>1451</v>
      </c>
      <c r="H154" s="9" t="s">
        <v>1691</v>
      </c>
      <c r="I154" s="8" t="n">
        <v>46368</v>
      </c>
      <c r="J154" s="7" t="s">
        <v>1222</v>
      </c>
    </row>
    <row r="155" customFormat="false" ht="31.5" hidden="false" customHeight="true" outlineLevel="0" collapsed="false">
      <c r="A155" s="15" t="s">
        <v>1692</v>
      </c>
      <c r="B155" s="7" t="s">
        <v>339</v>
      </c>
      <c r="C155" s="9" t="s">
        <v>954</v>
      </c>
      <c r="D155" s="7" t="s">
        <v>330</v>
      </c>
      <c r="E155" s="9" t="s">
        <v>942</v>
      </c>
      <c r="F155" s="9" t="s">
        <v>332</v>
      </c>
      <c r="G155" s="7" t="s">
        <v>1441</v>
      </c>
      <c r="H155" s="9" t="s">
        <v>1691</v>
      </c>
      <c r="I155" s="8" t="n">
        <v>46368</v>
      </c>
      <c r="J155" s="7" t="s">
        <v>1222</v>
      </c>
    </row>
    <row r="156" customFormat="false" ht="31.5" hidden="false" customHeight="true" outlineLevel="0" collapsed="false">
      <c r="A156" s="15" t="s">
        <v>1693</v>
      </c>
      <c r="B156" s="7" t="s">
        <v>135</v>
      </c>
      <c r="C156" s="9" t="s">
        <v>701</v>
      </c>
      <c r="D156" s="7" t="s">
        <v>347</v>
      </c>
      <c r="E156" s="9" t="s">
        <v>966</v>
      </c>
      <c r="F156" s="9" t="s">
        <v>349</v>
      </c>
      <c r="G156" s="7" t="s">
        <v>1451</v>
      </c>
      <c r="H156" s="9" t="s">
        <v>1694</v>
      </c>
      <c r="I156" s="8" t="n">
        <v>46371</v>
      </c>
      <c r="J156" s="7" t="s">
        <v>1222</v>
      </c>
    </row>
    <row r="157" customFormat="false" ht="31.5" hidden="false" customHeight="true" outlineLevel="0" collapsed="false">
      <c r="A157" s="15" t="s">
        <v>1695</v>
      </c>
      <c r="B157" s="7" t="s">
        <v>330</v>
      </c>
      <c r="C157" s="9" t="s">
        <v>942</v>
      </c>
      <c r="D157" s="7" t="s">
        <v>347</v>
      </c>
      <c r="E157" s="9" t="s">
        <v>966</v>
      </c>
      <c r="F157" s="9" t="s">
        <v>349</v>
      </c>
      <c r="G157" s="7" t="s">
        <v>1441</v>
      </c>
      <c r="H157" s="9" t="s">
        <v>1696</v>
      </c>
      <c r="I157" s="8" t="n">
        <v>46371</v>
      </c>
      <c r="J157" s="7" t="s">
        <v>1222</v>
      </c>
    </row>
    <row r="158" customFormat="false" ht="31.5" hidden="false" customHeight="true" outlineLevel="0" collapsed="false">
      <c r="A158" s="15" t="s">
        <v>1697</v>
      </c>
      <c r="B158" s="7" t="s">
        <v>347</v>
      </c>
      <c r="C158" s="9" t="s">
        <v>966</v>
      </c>
      <c r="D158" s="7" t="s">
        <v>135</v>
      </c>
      <c r="E158" s="9" t="s">
        <v>701</v>
      </c>
      <c r="F158" s="9" t="s">
        <v>138</v>
      </c>
      <c r="G158" s="7" t="s">
        <v>1451</v>
      </c>
      <c r="H158" s="9" t="s">
        <v>1698</v>
      </c>
      <c r="I158" s="8" t="n">
        <v>46371</v>
      </c>
      <c r="J158" s="7" t="s">
        <v>1222</v>
      </c>
    </row>
    <row r="159" customFormat="false" ht="31.5" hidden="false" customHeight="true" outlineLevel="0" collapsed="false">
      <c r="A159" s="15" t="s">
        <v>1699</v>
      </c>
      <c r="B159" s="7" t="s">
        <v>347</v>
      </c>
      <c r="C159" s="9" t="s">
        <v>966</v>
      </c>
      <c r="D159" s="7" t="s">
        <v>330</v>
      </c>
      <c r="E159" s="9" t="s">
        <v>942</v>
      </c>
      <c r="F159" s="9" t="s">
        <v>332</v>
      </c>
      <c r="G159" s="7" t="s">
        <v>1441</v>
      </c>
      <c r="H159" s="9" t="s">
        <v>1698</v>
      </c>
      <c r="I159" s="8" t="n">
        <v>46371</v>
      </c>
      <c r="J159" s="7" t="s">
        <v>1222</v>
      </c>
    </row>
    <row r="160" customFormat="false" ht="31.5" hidden="false" customHeight="true" outlineLevel="0" collapsed="false">
      <c r="A160" s="15" t="s">
        <v>1700</v>
      </c>
      <c r="B160" s="7" t="s">
        <v>43</v>
      </c>
      <c r="C160" s="9" t="s">
        <v>596</v>
      </c>
      <c r="D160" s="7" t="s">
        <v>356</v>
      </c>
      <c r="E160" s="9" t="s">
        <v>977</v>
      </c>
      <c r="F160" s="9" t="s">
        <v>358</v>
      </c>
      <c r="G160" s="7" t="s">
        <v>1441</v>
      </c>
      <c r="H160" s="9" t="s">
        <v>1701</v>
      </c>
      <c r="I160" s="8" t="n">
        <v>46373</v>
      </c>
      <c r="J160" s="7" t="s">
        <v>1222</v>
      </c>
    </row>
    <row r="161" customFormat="false" ht="31.5" hidden="false" customHeight="true" outlineLevel="0" collapsed="false">
      <c r="A161" s="15" t="s">
        <v>1702</v>
      </c>
      <c r="B161" s="7" t="s">
        <v>199</v>
      </c>
      <c r="C161" s="9" t="s">
        <v>777</v>
      </c>
      <c r="D161" s="7" t="s">
        <v>356</v>
      </c>
      <c r="E161" s="9" t="s">
        <v>977</v>
      </c>
      <c r="F161" s="9" t="s">
        <v>358</v>
      </c>
      <c r="G161" s="7" t="s">
        <v>1451</v>
      </c>
      <c r="H161" s="9" t="s">
        <v>1703</v>
      </c>
      <c r="I161" s="8" t="n">
        <v>46373</v>
      </c>
      <c r="J161" s="7" t="s">
        <v>1222</v>
      </c>
    </row>
    <row r="162" customFormat="false" ht="31.5" hidden="false" customHeight="true" outlineLevel="0" collapsed="false">
      <c r="A162" s="15" t="s">
        <v>1704</v>
      </c>
      <c r="B162" s="7" t="s">
        <v>305</v>
      </c>
      <c r="C162" s="9" t="s">
        <v>910</v>
      </c>
      <c r="D162" s="7" t="s">
        <v>356</v>
      </c>
      <c r="E162" s="9" t="s">
        <v>977</v>
      </c>
      <c r="F162" s="9" t="s">
        <v>358</v>
      </c>
      <c r="G162" s="7" t="s">
        <v>1441</v>
      </c>
      <c r="H162" s="9" t="s">
        <v>1705</v>
      </c>
      <c r="I162" s="8" t="n">
        <v>46373</v>
      </c>
      <c r="J162" s="7" t="s">
        <v>1222</v>
      </c>
    </row>
    <row r="163" customFormat="false" ht="31.5" hidden="false" customHeight="true" outlineLevel="0" collapsed="false">
      <c r="A163" s="15" t="s">
        <v>1706</v>
      </c>
      <c r="B163" s="7" t="s">
        <v>356</v>
      </c>
      <c r="C163" s="9" t="s">
        <v>977</v>
      </c>
      <c r="D163" s="7" t="s">
        <v>43</v>
      </c>
      <c r="E163" s="9" t="s">
        <v>596</v>
      </c>
      <c r="F163" s="9" t="s">
        <v>46</v>
      </c>
      <c r="G163" s="7" t="s">
        <v>1441</v>
      </c>
      <c r="H163" s="9" t="s">
        <v>1707</v>
      </c>
      <c r="I163" s="8" t="n">
        <v>46373</v>
      </c>
      <c r="J163" s="7" t="s">
        <v>1222</v>
      </c>
    </row>
    <row r="164" customFormat="false" ht="31.5" hidden="false" customHeight="true" outlineLevel="0" collapsed="false">
      <c r="A164" s="15" t="s">
        <v>1708</v>
      </c>
      <c r="B164" s="7" t="s">
        <v>356</v>
      </c>
      <c r="C164" s="9" t="s">
        <v>977</v>
      </c>
      <c r="D164" s="7" t="s">
        <v>199</v>
      </c>
      <c r="E164" s="9" t="s">
        <v>777</v>
      </c>
      <c r="F164" s="9" t="s">
        <v>202</v>
      </c>
      <c r="G164" s="7" t="s">
        <v>1451</v>
      </c>
      <c r="H164" s="9" t="s">
        <v>1707</v>
      </c>
      <c r="I164" s="8" t="n">
        <v>46373</v>
      </c>
      <c r="J164" s="7" t="s">
        <v>1222</v>
      </c>
    </row>
    <row r="165" customFormat="false" ht="31.5" hidden="false" customHeight="true" outlineLevel="0" collapsed="false">
      <c r="A165" s="15" t="s">
        <v>1709</v>
      </c>
      <c r="B165" s="7" t="s">
        <v>356</v>
      </c>
      <c r="C165" s="9" t="s">
        <v>977</v>
      </c>
      <c r="D165" s="7" t="s">
        <v>305</v>
      </c>
      <c r="E165" s="9" t="s">
        <v>910</v>
      </c>
      <c r="F165" s="9" t="s">
        <v>307</v>
      </c>
      <c r="G165" s="7" t="s">
        <v>1441</v>
      </c>
      <c r="H165" s="9" t="s">
        <v>1707</v>
      </c>
      <c r="I165" s="8" t="n">
        <v>46373</v>
      </c>
      <c r="J165" s="7" t="s">
        <v>1222</v>
      </c>
    </row>
    <row r="166" customFormat="false" ht="31.5" hidden="false" customHeight="true" outlineLevel="0" collapsed="false">
      <c r="A166" s="15" t="s">
        <v>1710</v>
      </c>
      <c r="B166" s="7" t="s">
        <v>63</v>
      </c>
      <c r="C166" s="9" t="s">
        <v>620</v>
      </c>
      <c r="D166" s="7" t="s">
        <v>365</v>
      </c>
      <c r="E166" s="9" t="s">
        <v>988</v>
      </c>
      <c r="F166" s="9" t="s">
        <v>367</v>
      </c>
      <c r="G166" s="7" t="s">
        <v>1451</v>
      </c>
      <c r="H166" s="9" t="s">
        <v>1711</v>
      </c>
      <c r="I166" s="8" t="n">
        <v>46375</v>
      </c>
      <c r="J166" s="7" t="s">
        <v>1222</v>
      </c>
    </row>
    <row r="167" customFormat="false" ht="31.5" hidden="false" customHeight="true" outlineLevel="0" collapsed="false">
      <c r="A167" s="15" t="s">
        <v>1712</v>
      </c>
      <c r="B167" s="7" t="s">
        <v>163</v>
      </c>
      <c r="C167" s="9" t="s">
        <v>732</v>
      </c>
      <c r="D167" s="7" t="s">
        <v>365</v>
      </c>
      <c r="E167" s="9" t="s">
        <v>988</v>
      </c>
      <c r="F167" s="9" t="s">
        <v>367</v>
      </c>
      <c r="G167" s="7" t="s">
        <v>1441</v>
      </c>
      <c r="H167" s="9" t="s">
        <v>1713</v>
      </c>
      <c r="I167" s="8" t="n">
        <v>46375</v>
      </c>
      <c r="J167" s="7" t="s">
        <v>1222</v>
      </c>
    </row>
    <row r="168" customFormat="false" ht="31.5" hidden="false" customHeight="true" outlineLevel="0" collapsed="false">
      <c r="A168" s="15" t="s">
        <v>1714</v>
      </c>
      <c r="B168" s="7" t="s">
        <v>172</v>
      </c>
      <c r="C168" s="9" t="s">
        <v>743</v>
      </c>
      <c r="D168" s="7" t="s">
        <v>365</v>
      </c>
      <c r="E168" s="9" t="s">
        <v>988</v>
      </c>
      <c r="F168" s="9" t="s">
        <v>367</v>
      </c>
      <c r="G168" s="7" t="s">
        <v>1441</v>
      </c>
      <c r="H168" s="9" t="s">
        <v>1715</v>
      </c>
      <c r="I168" s="8" t="n">
        <v>46375</v>
      </c>
      <c r="J168" s="7" t="s">
        <v>1222</v>
      </c>
    </row>
    <row r="169" customFormat="false" ht="31.5" hidden="false" customHeight="true" outlineLevel="0" collapsed="false">
      <c r="A169" s="15" t="s">
        <v>1716</v>
      </c>
      <c r="B169" s="7" t="s">
        <v>217</v>
      </c>
      <c r="C169" s="9" t="s">
        <v>800</v>
      </c>
      <c r="D169" s="7" t="s">
        <v>365</v>
      </c>
      <c r="E169" s="9" t="s">
        <v>988</v>
      </c>
      <c r="F169" s="9" t="s">
        <v>367</v>
      </c>
      <c r="G169" s="7" t="s">
        <v>1441</v>
      </c>
      <c r="H169" s="9" t="s">
        <v>1717</v>
      </c>
      <c r="I169" s="8" t="n">
        <v>46375</v>
      </c>
      <c r="J169" s="7" t="s">
        <v>1222</v>
      </c>
    </row>
    <row r="170" customFormat="false" ht="31.5" hidden="false" customHeight="true" outlineLevel="0" collapsed="false">
      <c r="A170" s="15" t="s">
        <v>1718</v>
      </c>
      <c r="B170" s="7" t="s">
        <v>365</v>
      </c>
      <c r="C170" s="9" t="s">
        <v>988</v>
      </c>
      <c r="D170" s="7" t="s">
        <v>63</v>
      </c>
      <c r="E170" s="9" t="s">
        <v>620</v>
      </c>
      <c r="F170" s="9" t="s">
        <v>66</v>
      </c>
      <c r="G170" s="7" t="s">
        <v>1451</v>
      </c>
      <c r="H170" s="9" t="s">
        <v>1719</v>
      </c>
      <c r="I170" s="8" t="n">
        <v>46375</v>
      </c>
      <c r="J170" s="7" t="s">
        <v>1222</v>
      </c>
    </row>
    <row r="171" customFormat="false" ht="31.5" hidden="false" customHeight="true" outlineLevel="0" collapsed="false">
      <c r="A171" s="15" t="s">
        <v>1720</v>
      </c>
      <c r="B171" s="7" t="s">
        <v>365</v>
      </c>
      <c r="C171" s="9" t="s">
        <v>988</v>
      </c>
      <c r="D171" s="7" t="s">
        <v>163</v>
      </c>
      <c r="E171" s="9" t="s">
        <v>732</v>
      </c>
      <c r="F171" s="9" t="s">
        <v>165</v>
      </c>
      <c r="G171" s="7" t="s">
        <v>1441</v>
      </c>
      <c r="H171" s="9" t="s">
        <v>1719</v>
      </c>
      <c r="I171" s="8" t="n">
        <v>46375</v>
      </c>
      <c r="J171" s="7" t="s">
        <v>1222</v>
      </c>
    </row>
    <row r="172" customFormat="false" ht="31.5" hidden="false" customHeight="true" outlineLevel="0" collapsed="false">
      <c r="A172" s="15" t="s">
        <v>1721</v>
      </c>
      <c r="B172" s="7" t="s">
        <v>365</v>
      </c>
      <c r="C172" s="9" t="s">
        <v>988</v>
      </c>
      <c r="D172" s="7" t="s">
        <v>172</v>
      </c>
      <c r="E172" s="9" t="s">
        <v>743</v>
      </c>
      <c r="F172" s="9" t="s">
        <v>174</v>
      </c>
      <c r="G172" s="7" t="s">
        <v>1441</v>
      </c>
      <c r="H172" s="9" t="s">
        <v>1719</v>
      </c>
      <c r="I172" s="8" t="n">
        <v>46375</v>
      </c>
      <c r="J172" s="7" t="s">
        <v>1222</v>
      </c>
    </row>
    <row r="173" customFormat="false" ht="31.5" hidden="false" customHeight="true" outlineLevel="0" collapsed="false">
      <c r="A173" s="15" t="s">
        <v>1722</v>
      </c>
      <c r="B173" s="7" t="s">
        <v>365</v>
      </c>
      <c r="C173" s="9" t="s">
        <v>988</v>
      </c>
      <c r="D173" s="7" t="s">
        <v>217</v>
      </c>
      <c r="E173" s="9" t="s">
        <v>800</v>
      </c>
      <c r="F173" s="9" t="s">
        <v>219</v>
      </c>
      <c r="G173" s="7" t="s">
        <v>1441</v>
      </c>
      <c r="H173" s="9" t="s">
        <v>1719</v>
      </c>
      <c r="I173" s="8" t="n">
        <v>46375</v>
      </c>
      <c r="J173" s="7" t="s">
        <v>1222</v>
      </c>
    </row>
    <row r="174" customFormat="false" ht="31.5" hidden="false" customHeight="true" outlineLevel="0" collapsed="false">
      <c r="A174" s="15" t="s">
        <v>1723</v>
      </c>
      <c r="B174" s="7" t="s">
        <v>53</v>
      </c>
      <c r="C174" s="9" t="s">
        <v>608</v>
      </c>
      <c r="D174" s="7" t="s">
        <v>373</v>
      </c>
      <c r="E174" s="9" t="s">
        <v>999</v>
      </c>
      <c r="F174" s="9" t="s">
        <v>375</v>
      </c>
      <c r="G174" s="7" t="s">
        <v>1451</v>
      </c>
      <c r="H174" s="9" t="s">
        <v>1724</v>
      </c>
      <c r="I174" s="8" t="n">
        <v>46378</v>
      </c>
      <c r="J174" s="7" t="s">
        <v>1222</v>
      </c>
    </row>
    <row r="175" customFormat="false" ht="31.5" hidden="false" customHeight="true" outlineLevel="0" collapsed="false">
      <c r="A175" s="15" t="s">
        <v>1725</v>
      </c>
      <c r="B175" s="7" t="s">
        <v>145</v>
      </c>
      <c r="C175" s="9" t="s">
        <v>711</v>
      </c>
      <c r="D175" s="7" t="s">
        <v>373</v>
      </c>
      <c r="E175" s="9" t="s">
        <v>999</v>
      </c>
      <c r="F175" s="9" t="s">
        <v>375</v>
      </c>
      <c r="G175" s="7" t="s">
        <v>1441</v>
      </c>
      <c r="H175" s="9" t="s">
        <v>1726</v>
      </c>
      <c r="I175" s="8" t="n">
        <v>46378</v>
      </c>
      <c r="J175" s="7" t="s">
        <v>1222</v>
      </c>
    </row>
    <row r="176" customFormat="false" ht="31.5" hidden="false" customHeight="true" outlineLevel="0" collapsed="false">
      <c r="A176" s="15" t="s">
        <v>1727</v>
      </c>
      <c r="B176" s="7" t="s">
        <v>199</v>
      </c>
      <c r="C176" s="9" t="s">
        <v>777</v>
      </c>
      <c r="D176" s="7" t="s">
        <v>373</v>
      </c>
      <c r="E176" s="9" t="s">
        <v>999</v>
      </c>
      <c r="F176" s="9" t="s">
        <v>375</v>
      </c>
      <c r="G176" s="7" t="s">
        <v>1441</v>
      </c>
      <c r="H176" s="9" t="s">
        <v>1728</v>
      </c>
      <c r="I176" s="8" t="n">
        <v>46378</v>
      </c>
      <c r="J176" s="7" t="s">
        <v>1222</v>
      </c>
    </row>
    <row r="177" customFormat="false" ht="31.5" hidden="false" customHeight="true" outlineLevel="0" collapsed="false">
      <c r="A177" s="15" t="s">
        <v>1729</v>
      </c>
      <c r="B177" s="7" t="s">
        <v>373</v>
      </c>
      <c r="C177" s="9" t="s">
        <v>999</v>
      </c>
      <c r="D177" s="7" t="s">
        <v>53</v>
      </c>
      <c r="E177" s="9" t="s">
        <v>608</v>
      </c>
      <c r="F177" s="9" t="s">
        <v>56</v>
      </c>
      <c r="G177" s="7" t="s">
        <v>1451</v>
      </c>
      <c r="H177" s="9" t="s">
        <v>1730</v>
      </c>
      <c r="I177" s="8" t="n">
        <v>46378</v>
      </c>
      <c r="J177" s="7" t="s">
        <v>1222</v>
      </c>
    </row>
    <row r="178" customFormat="false" ht="31.5" hidden="false" customHeight="true" outlineLevel="0" collapsed="false">
      <c r="A178" s="15" t="s">
        <v>1731</v>
      </c>
      <c r="B178" s="7" t="s">
        <v>373</v>
      </c>
      <c r="C178" s="9" t="s">
        <v>999</v>
      </c>
      <c r="D178" s="7" t="s">
        <v>145</v>
      </c>
      <c r="E178" s="9" t="s">
        <v>711</v>
      </c>
      <c r="F178" s="9" t="s">
        <v>147</v>
      </c>
      <c r="G178" s="7" t="s">
        <v>1441</v>
      </c>
      <c r="H178" s="9" t="s">
        <v>1730</v>
      </c>
      <c r="I178" s="8" t="n">
        <v>46378</v>
      </c>
      <c r="J178" s="7" t="s">
        <v>1222</v>
      </c>
    </row>
    <row r="179" customFormat="false" ht="31.5" hidden="false" customHeight="true" outlineLevel="0" collapsed="false">
      <c r="A179" s="15" t="s">
        <v>1732</v>
      </c>
      <c r="B179" s="7" t="s">
        <v>373</v>
      </c>
      <c r="C179" s="9" t="s">
        <v>999</v>
      </c>
      <c r="D179" s="7" t="s">
        <v>199</v>
      </c>
      <c r="E179" s="9" t="s">
        <v>777</v>
      </c>
      <c r="F179" s="9" t="s">
        <v>202</v>
      </c>
      <c r="G179" s="7" t="s">
        <v>1441</v>
      </c>
      <c r="H179" s="9" t="s">
        <v>1730</v>
      </c>
      <c r="I179" s="8" t="n">
        <v>46378</v>
      </c>
      <c r="J179" s="7" t="s">
        <v>1222</v>
      </c>
    </row>
    <row r="180" customFormat="false" ht="31.5" hidden="false" customHeight="true" outlineLevel="0" collapsed="false">
      <c r="A180" s="15" t="s">
        <v>1733</v>
      </c>
      <c r="B180" s="7" t="s">
        <v>18</v>
      </c>
      <c r="C180" s="9" t="s">
        <v>568</v>
      </c>
      <c r="D180" s="7" t="s">
        <v>382</v>
      </c>
      <c r="E180" s="9" t="s">
        <v>1009</v>
      </c>
      <c r="F180" s="9" t="s">
        <v>384</v>
      </c>
      <c r="G180" s="7" t="s">
        <v>1451</v>
      </c>
      <c r="H180" s="9" t="s">
        <v>1734</v>
      </c>
      <c r="I180" s="8" t="n">
        <v>46380</v>
      </c>
      <c r="J180" s="7" t="s">
        <v>1222</v>
      </c>
    </row>
    <row r="181" customFormat="false" ht="31.5" hidden="false" customHeight="true" outlineLevel="0" collapsed="false">
      <c r="A181" s="15" t="s">
        <v>1735</v>
      </c>
      <c r="B181" s="7" t="s">
        <v>114</v>
      </c>
      <c r="C181" s="9" t="s">
        <v>677</v>
      </c>
      <c r="D181" s="7" t="s">
        <v>382</v>
      </c>
      <c r="E181" s="9" t="s">
        <v>1009</v>
      </c>
      <c r="F181" s="9" t="s">
        <v>384</v>
      </c>
      <c r="G181" s="7" t="s">
        <v>1441</v>
      </c>
      <c r="H181" s="9" t="s">
        <v>1736</v>
      </c>
      <c r="I181" s="8" t="n">
        <v>46380</v>
      </c>
      <c r="J181" s="7" t="s">
        <v>1222</v>
      </c>
    </row>
    <row r="182" customFormat="false" ht="31.5" hidden="false" customHeight="true" outlineLevel="0" collapsed="false">
      <c r="A182" s="15" t="s">
        <v>1737</v>
      </c>
      <c r="B182" s="7" t="s">
        <v>268</v>
      </c>
      <c r="C182" s="9" t="s">
        <v>864</v>
      </c>
      <c r="D182" s="7" t="s">
        <v>382</v>
      </c>
      <c r="E182" s="9" t="s">
        <v>1009</v>
      </c>
      <c r="F182" s="9" t="s">
        <v>384</v>
      </c>
      <c r="G182" s="7" t="s">
        <v>1441</v>
      </c>
      <c r="H182" s="9" t="s">
        <v>1738</v>
      </c>
      <c r="I182" s="8" t="n">
        <v>46380</v>
      </c>
      <c r="J182" s="7" t="s">
        <v>1222</v>
      </c>
    </row>
    <row r="183" customFormat="false" ht="31.5" hidden="false" customHeight="true" outlineLevel="0" collapsed="false">
      <c r="A183" s="15" t="s">
        <v>1739</v>
      </c>
      <c r="B183" s="7" t="s">
        <v>321</v>
      </c>
      <c r="C183" s="9" t="s">
        <v>931</v>
      </c>
      <c r="D183" s="7" t="s">
        <v>382</v>
      </c>
      <c r="E183" s="9" t="s">
        <v>1009</v>
      </c>
      <c r="F183" s="9" t="s">
        <v>384</v>
      </c>
      <c r="G183" s="7" t="s">
        <v>1441</v>
      </c>
      <c r="H183" s="9" t="s">
        <v>1740</v>
      </c>
      <c r="I183" s="8" t="n">
        <v>46380</v>
      </c>
      <c r="J183" s="7" t="s">
        <v>1222</v>
      </c>
    </row>
    <row r="184" customFormat="false" ht="31.5" hidden="false" customHeight="true" outlineLevel="0" collapsed="false">
      <c r="A184" s="15" t="s">
        <v>1741</v>
      </c>
      <c r="B184" s="7" t="s">
        <v>382</v>
      </c>
      <c r="C184" s="9" t="s">
        <v>1009</v>
      </c>
      <c r="D184" s="7" t="s">
        <v>18</v>
      </c>
      <c r="E184" s="9" t="s">
        <v>568</v>
      </c>
      <c r="F184" s="9" t="s">
        <v>24</v>
      </c>
      <c r="G184" s="7" t="s">
        <v>1451</v>
      </c>
      <c r="H184" s="9" t="s">
        <v>1742</v>
      </c>
      <c r="I184" s="8" t="n">
        <v>46380</v>
      </c>
      <c r="J184" s="7" t="s">
        <v>1222</v>
      </c>
    </row>
    <row r="185" customFormat="false" ht="31.5" hidden="false" customHeight="true" outlineLevel="0" collapsed="false">
      <c r="A185" s="15" t="s">
        <v>1743</v>
      </c>
      <c r="B185" s="7" t="s">
        <v>382</v>
      </c>
      <c r="C185" s="9" t="s">
        <v>1009</v>
      </c>
      <c r="D185" s="7" t="s">
        <v>114</v>
      </c>
      <c r="E185" s="9" t="s">
        <v>677</v>
      </c>
      <c r="F185" s="9" t="s">
        <v>119</v>
      </c>
      <c r="G185" s="7" t="s">
        <v>1441</v>
      </c>
      <c r="H185" s="9" t="s">
        <v>1742</v>
      </c>
      <c r="I185" s="8" t="n">
        <v>46380</v>
      </c>
      <c r="J185" s="7" t="s">
        <v>1222</v>
      </c>
    </row>
    <row r="186" customFormat="false" ht="31.5" hidden="false" customHeight="true" outlineLevel="0" collapsed="false">
      <c r="A186" s="15" t="s">
        <v>1744</v>
      </c>
      <c r="B186" s="7" t="s">
        <v>382</v>
      </c>
      <c r="C186" s="9" t="s">
        <v>1009</v>
      </c>
      <c r="D186" s="7" t="s">
        <v>268</v>
      </c>
      <c r="E186" s="9" t="s">
        <v>864</v>
      </c>
      <c r="F186" s="9" t="s">
        <v>270</v>
      </c>
      <c r="G186" s="7" t="s">
        <v>1441</v>
      </c>
      <c r="H186" s="9" t="s">
        <v>1742</v>
      </c>
      <c r="I186" s="8" t="n">
        <v>46380</v>
      </c>
      <c r="J186" s="7" t="s">
        <v>1222</v>
      </c>
    </row>
    <row r="187" customFormat="false" ht="31.5" hidden="false" customHeight="true" outlineLevel="0" collapsed="false">
      <c r="A187" s="15" t="s">
        <v>1745</v>
      </c>
      <c r="B187" s="7" t="s">
        <v>382</v>
      </c>
      <c r="C187" s="9" t="s">
        <v>1009</v>
      </c>
      <c r="D187" s="7" t="s">
        <v>321</v>
      </c>
      <c r="E187" s="9" t="s">
        <v>931</v>
      </c>
      <c r="F187" s="9" t="s">
        <v>323</v>
      </c>
      <c r="G187" s="7" t="s">
        <v>1441</v>
      </c>
      <c r="H187" s="9" t="s">
        <v>1742</v>
      </c>
      <c r="I187" s="8" t="n">
        <v>46380</v>
      </c>
      <c r="J187" s="7" t="s">
        <v>1222</v>
      </c>
    </row>
    <row r="188" customFormat="false" ht="31.5" hidden="false" customHeight="true" outlineLevel="0" collapsed="false">
      <c r="A188" s="15" t="s">
        <v>1746</v>
      </c>
      <c r="B188" s="7" t="s">
        <v>73</v>
      </c>
      <c r="C188" s="9" t="s">
        <v>631</v>
      </c>
      <c r="D188" s="7" t="s">
        <v>390</v>
      </c>
      <c r="E188" s="9" t="s">
        <v>1020</v>
      </c>
      <c r="F188" s="9" t="s">
        <v>392</v>
      </c>
      <c r="G188" s="7" t="s">
        <v>1441</v>
      </c>
      <c r="H188" s="9" t="s">
        <v>1747</v>
      </c>
      <c r="I188" s="8" t="n">
        <v>46382</v>
      </c>
      <c r="J188" s="7" t="s">
        <v>1222</v>
      </c>
    </row>
    <row r="189" customFormat="false" ht="31.5" hidden="false" customHeight="true" outlineLevel="0" collapsed="false">
      <c r="A189" s="15" t="s">
        <v>1748</v>
      </c>
      <c r="B189" s="7" t="s">
        <v>92</v>
      </c>
      <c r="C189" s="9" t="s">
        <v>653</v>
      </c>
      <c r="D189" s="7" t="s">
        <v>390</v>
      </c>
      <c r="E189" s="9" t="s">
        <v>1020</v>
      </c>
      <c r="F189" s="9" t="s">
        <v>392</v>
      </c>
      <c r="G189" s="7" t="s">
        <v>1451</v>
      </c>
      <c r="H189" s="9" t="s">
        <v>1749</v>
      </c>
      <c r="I189" s="8" t="n">
        <v>46382</v>
      </c>
      <c r="J189" s="7" t="s">
        <v>1222</v>
      </c>
    </row>
    <row r="190" customFormat="false" ht="31.5" hidden="false" customHeight="true" outlineLevel="0" collapsed="false">
      <c r="A190" s="15" t="s">
        <v>1750</v>
      </c>
      <c r="B190" s="7" t="s">
        <v>244</v>
      </c>
      <c r="C190" s="9" t="s">
        <v>831</v>
      </c>
      <c r="D190" s="7" t="s">
        <v>390</v>
      </c>
      <c r="E190" s="9" t="s">
        <v>1020</v>
      </c>
      <c r="F190" s="9" t="s">
        <v>392</v>
      </c>
      <c r="G190" s="7" t="s">
        <v>1441</v>
      </c>
      <c r="H190" s="9" t="s">
        <v>1751</v>
      </c>
      <c r="I190" s="8" t="n">
        <v>46382</v>
      </c>
      <c r="J190" s="7" t="s">
        <v>1222</v>
      </c>
    </row>
    <row r="191" customFormat="false" ht="31.5" hidden="false" customHeight="true" outlineLevel="0" collapsed="false">
      <c r="A191" s="15" t="s">
        <v>1752</v>
      </c>
      <c r="B191" s="7" t="s">
        <v>390</v>
      </c>
      <c r="C191" s="9" t="s">
        <v>1020</v>
      </c>
      <c r="D191" s="7" t="s">
        <v>73</v>
      </c>
      <c r="E191" s="9" t="s">
        <v>631</v>
      </c>
      <c r="F191" s="9" t="s">
        <v>76</v>
      </c>
      <c r="G191" s="7" t="s">
        <v>1441</v>
      </c>
      <c r="H191" s="9" t="s">
        <v>1753</v>
      </c>
      <c r="I191" s="8" t="n">
        <v>46382</v>
      </c>
      <c r="J191" s="7" t="s">
        <v>1222</v>
      </c>
    </row>
    <row r="192" customFormat="false" ht="31.5" hidden="false" customHeight="true" outlineLevel="0" collapsed="false">
      <c r="A192" s="15" t="s">
        <v>1754</v>
      </c>
      <c r="B192" s="7" t="s">
        <v>390</v>
      </c>
      <c r="C192" s="9" t="s">
        <v>1020</v>
      </c>
      <c r="D192" s="7" t="s">
        <v>92</v>
      </c>
      <c r="E192" s="9" t="s">
        <v>653</v>
      </c>
      <c r="F192" s="9" t="s">
        <v>94</v>
      </c>
      <c r="G192" s="7" t="s">
        <v>1451</v>
      </c>
      <c r="H192" s="9" t="s">
        <v>1753</v>
      </c>
      <c r="I192" s="8" t="n">
        <v>46382</v>
      </c>
      <c r="J192" s="7" t="s">
        <v>1222</v>
      </c>
    </row>
    <row r="193" customFormat="false" ht="31.5" hidden="false" customHeight="true" outlineLevel="0" collapsed="false">
      <c r="A193" s="15" t="s">
        <v>1755</v>
      </c>
      <c r="B193" s="7" t="s">
        <v>390</v>
      </c>
      <c r="C193" s="9" t="s">
        <v>1020</v>
      </c>
      <c r="D193" s="7" t="s">
        <v>244</v>
      </c>
      <c r="E193" s="9" t="s">
        <v>831</v>
      </c>
      <c r="F193" s="9" t="s">
        <v>246</v>
      </c>
      <c r="G193" s="7" t="s">
        <v>1441</v>
      </c>
      <c r="H193" s="9" t="s">
        <v>1753</v>
      </c>
      <c r="I193" s="8" t="n">
        <v>46382</v>
      </c>
      <c r="J193" s="7" t="s">
        <v>1222</v>
      </c>
    </row>
    <row r="194" customFormat="false" ht="31.5" hidden="false" customHeight="true" outlineLevel="0" collapsed="false">
      <c r="A194" s="15" t="s">
        <v>1756</v>
      </c>
      <c r="B194" s="7" t="s">
        <v>43</v>
      </c>
      <c r="C194" s="9" t="s">
        <v>596</v>
      </c>
      <c r="D194" s="7" t="s">
        <v>399</v>
      </c>
      <c r="E194" s="9" t="s">
        <v>1030</v>
      </c>
      <c r="F194" s="9" t="s">
        <v>401</v>
      </c>
      <c r="G194" s="7" t="s">
        <v>1451</v>
      </c>
      <c r="H194" s="9" t="s">
        <v>1757</v>
      </c>
      <c r="I194" s="8" t="n">
        <v>46385</v>
      </c>
      <c r="J194" s="7" t="s">
        <v>1222</v>
      </c>
    </row>
    <row r="195" customFormat="false" ht="31.5" hidden="false" customHeight="true" outlineLevel="0" collapsed="false">
      <c r="A195" s="15" t="s">
        <v>1758</v>
      </c>
      <c r="B195" s="7" t="s">
        <v>330</v>
      </c>
      <c r="C195" s="9" t="s">
        <v>942</v>
      </c>
      <c r="D195" s="7" t="s">
        <v>399</v>
      </c>
      <c r="E195" s="9" t="s">
        <v>1030</v>
      </c>
      <c r="F195" s="9" t="s">
        <v>401</v>
      </c>
      <c r="G195" s="7" t="s">
        <v>1441</v>
      </c>
      <c r="H195" s="9" t="s">
        <v>1759</v>
      </c>
      <c r="I195" s="8" t="n">
        <v>46385</v>
      </c>
      <c r="J195" s="7" t="s">
        <v>1222</v>
      </c>
    </row>
    <row r="196" customFormat="false" ht="31.5" hidden="false" customHeight="true" outlineLevel="0" collapsed="false">
      <c r="A196" s="15" t="s">
        <v>1760</v>
      </c>
      <c r="B196" s="7" t="s">
        <v>356</v>
      </c>
      <c r="C196" s="9" t="s">
        <v>977</v>
      </c>
      <c r="D196" s="7" t="s">
        <v>399</v>
      </c>
      <c r="E196" s="9" t="s">
        <v>1030</v>
      </c>
      <c r="F196" s="9" t="s">
        <v>401</v>
      </c>
      <c r="G196" s="7" t="s">
        <v>1441</v>
      </c>
      <c r="H196" s="9" t="s">
        <v>1761</v>
      </c>
      <c r="I196" s="8" t="n">
        <v>46385</v>
      </c>
      <c r="J196" s="7" t="s">
        <v>1222</v>
      </c>
    </row>
    <row r="197" customFormat="false" ht="31.5" hidden="false" customHeight="true" outlineLevel="0" collapsed="false">
      <c r="A197" s="15" t="s">
        <v>1762</v>
      </c>
      <c r="B197" s="7" t="s">
        <v>399</v>
      </c>
      <c r="C197" s="9" t="s">
        <v>1030</v>
      </c>
      <c r="D197" s="7" t="s">
        <v>43</v>
      </c>
      <c r="E197" s="9" t="s">
        <v>596</v>
      </c>
      <c r="F197" s="9" t="s">
        <v>46</v>
      </c>
      <c r="G197" s="7" t="s">
        <v>1451</v>
      </c>
      <c r="H197" s="9" t="s">
        <v>1763</v>
      </c>
      <c r="I197" s="8" t="n">
        <v>46385</v>
      </c>
      <c r="J197" s="7" t="s">
        <v>1222</v>
      </c>
    </row>
    <row r="198" customFormat="false" ht="31.5" hidden="false" customHeight="true" outlineLevel="0" collapsed="false">
      <c r="A198" s="15" t="s">
        <v>1764</v>
      </c>
      <c r="B198" s="7" t="s">
        <v>399</v>
      </c>
      <c r="C198" s="9" t="s">
        <v>1030</v>
      </c>
      <c r="D198" s="7" t="s">
        <v>330</v>
      </c>
      <c r="E198" s="9" t="s">
        <v>942</v>
      </c>
      <c r="F198" s="9" t="s">
        <v>332</v>
      </c>
      <c r="G198" s="7" t="s">
        <v>1441</v>
      </c>
      <c r="H198" s="9" t="s">
        <v>1763</v>
      </c>
      <c r="I198" s="8" t="n">
        <v>46385</v>
      </c>
      <c r="J198" s="7" t="s">
        <v>1222</v>
      </c>
    </row>
    <row r="199" customFormat="false" ht="31.5" hidden="false" customHeight="true" outlineLevel="0" collapsed="false">
      <c r="A199" s="15" t="s">
        <v>1765</v>
      </c>
      <c r="B199" s="7" t="s">
        <v>399</v>
      </c>
      <c r="C199" s="9" t="s">
        <v>1030</v>
      </c>
      <c r="D199" s="7" t="s">
        <v>356</v>
      </c>
      <c r="E199" s="9" t="s">
        <v>977</v>
      </c>
      <c r="F199" s="9" t="s">
        <v>358</v>
      </c>
      <c r="G199" s="7" t="s">
        <v>1441</v>
      </c>
      <c r="H199" s="9" t="s">
        <v>1763</v>
      </c>
      <c r="I199" s="8" t="n">
        <v>46385</v>
      </c>
      <c r="J199" s="7" t="s">
        <v>1222</v>
      </c>
    </row>
    <row r="200" customFormat="false" ht="31.5" hidden="false" customHeight="true" outlineLevel="0" collapsed="false">
      <c r="A200" s="15" t="s">
        <v>1766</v>
      </c>
      <c r="B200" s="7" t="s">
        <v>73</v>
      </c>
      <c r="C200" s="9" t="s">
        <v>631</v>
      </c>
      <c r="D200" s="7" t="s">
        <v>408</v>
      </c>
      <c r="E200" s="9" t="s">
        <v>1041</v>
      </c>
      <c r="F200" s="9" t="s">
        <v>410</v>
      </c>
      <c r="G200" s="7" t="s">
        <v>1441</v>
      </c>
      <c r="H200" s="9" t="s">
        <v>1767</v>
      </c>
      <c r="I200" s="8" t="n">
        <v>46387</v>
      </c>
      <c r="J200" s="7" t="s">
        <v>1222</v>
      </c>
    </row>
    <row r="201" customFormat="false" ht="31.5" hidden="false" customHeight="true" outlineLevel="0" collapsed="false">
      <c r="A201" s="15" t="s">
        <v>1768</v>
      </c>
      <c r="B201" s="7" t="s">
        <v>92</v>
      </c>
      <c r="C201" s="9" t="s">
        <v>653</v>
      </c>
      <c r="D201" s="7" t="s">
        <v>408</v>
      </c>
      <c r="E201" s="9" t="s">
        <v>1041</v>
      </c>
      <c r="F201" s="9" t="s">
        <v>410</v>
      </c>
      <c r="G201" s="7" t="s">
        <v>1451</v>
      </c>
      <c r="H201" s="9" t="s">
        <v>1769</v>
      </c>
      <c r="I201" s="8" t="n">
        <v>46387</v>
      </c>
      <c r="J201" s="7" t="s">
        <v>1222</v>
      </c>
    </row>
    <row r="202" customFormat="false" ht="31.5" hidden="false" customHeight="true" outlineLevel="0" collapsed="false">
      <c r="A202" s="15" t="s">
        <v>1770</v>
      </c>
      <c r="B202" s="7" t="s">
        <v>277</v>
      </c>
      <c r="C202" s="9" t="s">
        <v>876</v>
      </c>
      <c r="D202" s="7" t="s">
        <v>408</v>
      </c>
      <c r="E202" s="9" t="s">
        <v>1041</v>
      </c>
      <c r="F202" s="9" t="s">
        <v>410</v>
      </c>
      <c r="G202" s="7" t="s">
        <v>1441</v>
      </c>
      <c r="H202" s="9" t="s">
        <v>1771</v>
      </c>
      <c r="I202" s="8" t="n">
        <v>46387</v>
      </c>
      <c r="J202" s="7" t="s">
        <v>1222</v>
      </c>
    </row>
    <row r="203" customFormat="false" ht="31.5" hidden="false" customHeight="true" outlineLevel="0" collapsed="false">
      <c r="A203" s="15" t="s">
        <v>1772</v>
      </c>
      <c r="B203" s="7" t="s">
        <v>295</v>
      </c>
      <c r="C203" s="9" t="s">
        <v>898</v>
      </c>
      <c r="D203" s="7" t="s">
        <v>408</v>
      </c>
      <c r="E203" s="9" t="s">
        <v>1041</v>
      </c>
      <c r="F203" s="9" t="s">
        <v>410</v>
      </c>
      <c r="G203" s="7" t="s">
        <v>1441</v>
      </c>
      <c r="H203" s="9" t="s">
        <v>1773</v>
      </c>
      <c r="I203" s="8" t="n">
        <v>46387</v>
      </c>
      <c r="J203" s="7" t="s">
        <v>1222</v>
      </c>
    </row>
    <row r="204" customFormat="false" ht="31.5" hidden="false" customHeight="true" outlineLevel="0" collapsed="false">
      <c r="A204" s="15" t="s">
        <v>1774</v>
      </c>
      <c r="B204" s="7" t="s">
        <v>408</v>
      </c>
      <c r="C204" s="9" t="s">
        <v>1041</v>
      </c>
      <c r="D204" s="7" t="s">
        <v>73</v>
      </c>
      <c r="E204" s="9" t="s">
        <v>631</v>
      </c>
      <c r="F204" s="9" t="s">
        <v>76</v>
      </c>
      <c r="G204" s="7" t="s">
        <v>1441</v>
      </c>
      <c r="H204" s="9" t="s">
        <v>1775</v>
      </c>
      <c r="I204" s="8" t="n">
        <v>46387</v>
      </c>
      <c r="J204" s="7" t="s">
        <v>1222</v>
      </c>
    </row>
    <row r="205" customFormat="false" ht="31.5" hidden="false" customHeight="true" outlineLevel="0" collapsed="false">
      <c r="A205" s="15" t="s">
        <v>1776</v>
      </c>
      <c r="B205" s="7" t="s">
        <v>408</v>
      </c>
      <c r="C205" s="9" t="s">
        <v>1041</v>
      </c>
      <c r="D205" s="7" t="s">
        <v>92</v>
      </c>
      <c r="E205" s="9" t="s">
        <v>653</v>
      </c>
      <c r="F205" s="9" t="s">
        <v>94</v>
      </c>
      <c r="G205" s="7" t="s">
        <v>1451</v>
      </c>
      <c r="H205" s="9" t="s">
        <v>1775</v>
      </c>
      <c r="I205" s="8" t="n">
        <v>46387</v>
      </c>
      <c r="J205" s="7" t="s">
        <v>1222</v>
      </c>
    </row>
    <row r="206" customFormat="false" ht="31.5" hidden="false" customHeight="true" outlineLevel="0" collapsed="false">
      <c r="A206" s="15" t="s">
        <v>1777</v>
      </c>
      <c r="B206" s="7" t="s">
        <v>408</v>
      </c>
      <c r="C206" s="9" t="s">
        <v>1041</v>
      </c>
      <c r="D206" s="7" t="s">
        <v>277</v>
      </c>
      <c r="E206" s="9" t="s">
        <v>876</v>
      </c>
      <c r="F206" s="9" t="s">
        <v>279</v>
      </c>
      <c r="G206" s="7" t="s">
        <v>1441</v>
      </c>
      <c r="H206" s="9" t="s">
        <v>1775</v>
      </c>
      <c r="I206" s="8" t="n">
        <v>46387</v>
      </c>
      <c r="J206" s="7" t="s">
        <v>1222</v>
      </c>
    </row>
    <row r="207" customFormat="false" ht="31.5" hidden="false" customHeight="true" outlineLevel="0" collapsed="false">
      <c r="A207" s="15" t="s">
        <v>1778</v>
      </c>
      <c r="B207" s="7" t="s">
        <v>408</v>
      </c>
      <c r="C207" s="9" t="s">
        <v>1041</v>
      </c>
      <c r="D207" s="7" t="s">
        <v>295</v>
      </c>
      <c r="E207" s="9" t="s">
        <v>898</v>
      </c>
      <c r="F207" s="9" t="s">
        <v>298</v>
      </c>
      <c r="G207" s="7" t="s">
        <v>1441</v>
      </c>
      <c r="H207" s="9" t="s">
        <v>1775</v>
      </c>
      <c r="I207" s="8" t="n">
        <v>46387</v>
      </c>
      <c r="J207" s="7" t="s">
        <v>1222</v>
      </c>
    </row>
    <row r="208" customFormat="false" ht="31.5" hidden="false" customHeight="true" outlineLevel="0" collapsed="false">
      <c r="A208" s="15" t="s">
        <v>1779</v>
      </c>
      <c r="B208" s="7" t="s">
        <v>34</v>
      </c>
      <c r="C208" s="9" t="s">
        <v>584</v>
      </c>
      <c r="D208" s="7" t="s">
        <v>417</v>
      </c>
      <c r="E208" s="9" t="s">
        <v>1051</v>
      </c>
      <c r="F208" s="9" t="s">
        <v>420</v>
      </c>
      <c r="G208" s="7" t="s">
        <v>1451</v>
      </c>
      <c r="H208" s="9" t="s">
        <v>1780</v>
      </c>
      <c r="I208" s="8" t="n">
        <v>46389</v>
      </c>
      <c r="J208" s="7" t="s">
        <v>1222</v>
      </c>
    </row>
    <row r="209" customFormat="false" ht="31.5" hidden="false" customHeight="true" outlineLevel="0" collapsed="false">
      <c r="A209" s="15" t="s">
        <v>1781</v>
      </c>
      <c r="B209" s="7" t="s">
        <v>43</v>
      </c>
      <c r="C209" s="9" t="s">
        <v>596</v>
      </c>
      <c r="D209" s="7" t="s">
        <v>417</v>
      </c>
      <c r="E209" s="9" t="s">
        <v>1051</v>
      </c>
      <c r="F209" s="9" t="s">
        <v>420</v>
      </c>
      <c r="G209" s="7" t="s">
        <v>1441</v>
      </c>
      <c r="H209" s="9" t="s">
        <v>1782</v>
      </c>
      <c r="I209" s="8" t="n">
        <v>46389</v>
      </c>
      <c r="J209" s="7" t="s">
        <v>1222</v>
      </c>
    </row>
    <row r="210" customFormat="false" ht="31.5" hidden="false" customHeight="true" outlineLevel="0" collapsed="false">
      <c r="A210" s="15" t="s">
        <v>1783</v>
      </c>
      <c r="B210" s="7" t="s">
        <v>101</v>
      </c>
      <c r="C210" s="9" t="s">
        <v>664</v>
      </c>
      <c r="D210" s="7" t="s">
        <v>417</v>
      </c>
      <c r="E210" s="9" t="s">
        <v>1051</v>
      </c>
      <c r="F210" s="9" t="s">
        <v>420</v>
      </c>
      <c r="G210" s="7" t="s">
        <v>1441</v>
      </c>
      <c r="H210" s="9" t="s">
        <v>1784</v>
      </c>
      <c r="I210" s="8" t="n">
        <v>46389</v>
      </c>
      <c r="J210" s="7" t="s">
        <v>1222</v>
      </c>
    </row>
    <row r="211" customFormat="false" ht="31.5" hidden="false" customHeight="true" outlineLevel="0" collapsed="false">
      <c r="A211" s="15" t="s">
        <v>1785</v>
      </c>
      <c r="B211" s="7" t="s">
        <v>260</v>
      </c>
      <c r="C211" s="9" t="s">
        <v>853</v>
      </c>
      <c r="D211" s="7" t="s">
        <v>417</v>
      </c>
      <c r="E211" s="9" t="s">
        <v>1051</v>
      </c>
      <c r="F211" s="9" t="s">
        <v>420</v>
      </c>
      <c r="G211" s="7" t="s">
        <v>1441</v>
      </c>
      <c r="H211" s="9" t="s">
        <v>1786</v>
      </c>
      <c r="I211" s="8" t="n">
        <v>46389</v>
      </c>
      <c r="J211" s="7" t="s">
        <v>1222</v>
      </c>
    </row>
    <row r="212" customFormat="false" ht="31.5" hidden="false" customHeight="true" outlineLevel="0" collapsed="false">
      <c r="A212" s="15" t="s">
        <v>1787</v>
      </c>
      <c r="B212" s="7" t="s">
        <v>417</v>
      </c>
      <c r="C212" s="9" t="s">
        <v>1051</v>
      </c>
      <c r="D212" s="7" t="s">
        <v>34</v>
      </c>
      <c r="E212" s="9" t="s">
        <v>584</v>
      </c>
      <c r="F212" s="9" t="s">
        <v>37</v>
      </c>
      <c r="G212" s="7" t="s">
        <v>1451</v>
      </c>
      <c r="H212" s="9" t="s">
        <v>1788</v>
      </c>
      <c r="I212" s="8" t="n">
        <v>46389</v>
      </c>
      <c r="J212" s="7" t="s">
        <v>1222</v>
      </c>
    </row>
    <row r="213" customFormat="false" ht="31.5" hidden="false" customHeight="true" outlineLevel="0" collapsed="false">
      <c r="A213" s="15" t="s">
        <v>1789</v>
      </c>
      <c r="B213" s="7" t="s">
        <v>417</v>
      </c>
      <c r="C213" s="9" t="s">
        <v>1051</v>
      </c>
      <c r="D213" s="7" t="s">
        <v>43</v>
      </c>
      <c r="E213" s="9" t="s">
        <v>596</v>
      </c>
      <c r="F213" s="9" t="s">
        <v>46</v>
      </c>
      <c r="G213" s="7" t="s">
        <v>1441</v>
      </c>
      <c r="H213" s="9" t="s">
        <v>1788</v>
      </c>
      <c r="I213" s="8" t="n">
        <v>46389</v>
      </c>
      <c r="J213" s="7" t="s">
        <v>1222</v>
      </c>
    </row>
    <row r="214" customFormat="false" ht="31.5" hidden="false" customHeight="true" outlineLevel="0" collapsed="false">
      <c r="A214" s="15" t="s">
        <v>1790</v>
      </c>
      <c r="B214" s="7" t="s">
        <v>417</v>
      </c>
      <c r="C214" s="9" t="s">
        <v>1051</v>
      </c>
      <c r="D214" s="7" t="s">
        <v>101</v>
      </c>
      <c r="E214" s="9" t="s">
        <v>664</v>
      </c>
      <c r="F214" s="9" t="s">
        <v>107</v>
      </c>
      <c r="G214" s="7" t="s">
        <v>1441</v>
      </c>
      <c r="H214" s="9" t="s">
        <v>1788</v>
      </c>
      <c r="I214" s="8" t="n">
        <v>46389</v>
      </c>
      <c r="J214" s="7" t="s">
        <v>1222</v>
      </c>
    </row>
    <row r="215" customFormat="false" ht="31.5" hidden="false" customHeight="true" outlineLevel="0" collapsed="false">
      <c r="A215" s="15" t="s">
        <v>1791</v>
      </c>
      <c r="B215" s="7" t="s">
        <v>417</v>
      </c>
      <c r="C215" s="9" t="s">
        <v>1051</v>
      </c>
      <c r="D215" s="7" t="s">
        <v>260</v>
      </c>
      <c r="E215" s="9" t="s">
        <v>853</v>
      </c>
      <c r="F215" s="9" t="s">
        <v>262</v>
      </c>
      <c r="G215" s="7" t="s">
        <v>1441</v>
      </c>
      <c r="H215" s="9" t="s">
        <v>1788</v>
      </c>
      <c r="I215" s="8" t="n">
        <v>46389</v>
      </c>
      <c r="J215" s="7" t="s">
        <v>1222</v>
      </c>
    </row>
    <row r="216" customFormat="false" ht="31.5" hidden="false" customHeight="true" outlineLevel="0" collapsed="false">
      <c r="A216" s="15" t="s">
        <v>1792</v>
      </c>
      <c r="B216" s="7" t="s">
        <v>73</v>
      </c>
      <c r="C216" s="9" t="s">
        <v>631</v>
      </c>
      <c r="D216" s="7" t="s">
        <v>426</v>
      </c>
      <c r="E216" s="9" t="s">
        <v>1061</v>
      </c>
      <c r="F216" s="9" t="s">
        <v>428</v>
      </c>
      <c r="G216" s="7" t="s">
        <v>1441</v>
      </c>
      <c r="H216" s="9" t="s">
        <v>1793</v>
      </c>
      <c r="I216" s="8" t="n">
        <v>46392</v>
      </c>
      <c r="J216" s="7" t="s">
        <v>1222</v>
      </c>
    </row>
    <row r="217" customFormat="false" ht="31.5" hidden="false" customHeight="true" outlineLevel="0" collapsed="false">
      <c r="A217" s="15" t="s">
        <v>1794</v>
      </c>
      <c r="B217" s="7" t="s">
        <v>135</v>
      </c>
      <c r="C217" s="9" t="s">
        <v>701</v>
      </c>
      <c r="D217" s="7" t="s">
        <v>426</v>
      </c>
      <c r="E217" s="9" t="s">
        <v>1061</v>
      </c>
      <c r="F217" s="9" t="s">
        <v>428</v>
      </c>
      <c r="G217" s="7" t="s">
        <v>1451</v>
      </c>
      <c r="H217" s="9" t="s">
        <v>1795</v>
      </c>
      <c r="I217" s="8" t="n">
        <v>46392</v>
      </c>
      <c r="J217" s="7" t="s">
        <v>1222</v>
      </c>
    </row>
    <row r="218" customFormat="false" ht="31.5" hidden="false" customHeight="true" outlineLevel="0" collapsed="false">
      <c r="A218" s="15" t="s">
        <v>1796</v>
      </c>
      <c r="B218" s="7" t="s">
        <v>330</v>
      </c>
      <c r="C218" s="9" t="s">
        <v>942</v>
      </c>
      <c r="D218" s="7" t="s">
        <v>426</v>
      </c>
      <c r="E218" s="9" t="s">
        <v>1061</v>
      </c>
      <c r="F218" s="9" t="s">
        <v>428</v>
      </c>
      <c r="G218" s="7" t="s">
        <v>1441</v>
      </c>
      <c r="H218" s="9" t="s">
        <v>1797</v>
      </c>
      <c r="I218" s="8" t="n">
        <v>46392</v>
      </c>
      <c r="J218" s="7" t="s">
        <v>1222</v>
      </c>
    </row>
    <row r="219" customFormat="false" ht="31.5" hidden="false" customHeight="true" outlineLevel="0" collapsed="false">
      <c r="A219" s="15" t="s">
        <v>1798</v>
      </c>
      <c r="B219" s="7" t="s">
        <v>426</v>
      </c>
      <c r="C219" s="9" t="s">
        <v>1061</v>
      </c>
      <c r="D219" s="7" t="s">
        <v>73</v>
      </c>
      <c r="E219" s="9" t="s">
        <v>631</v>
      </c>
      <c r="F219" s="9" t="s">
        <v>76</v>
      </c>
      <c r="G219" s="7" t="s">
        <v>1441</v>
      </c>
      <c r="H219" s="9" t="s">
        <v>1799</v>
      </c>
      <c r="I219" s="8" t="n">
        <v>46392</v>
      </c>
      <c r="J219" s="7" t="s">
        <v>1222</v>
      </c>
    </row>
    <row r="220" customFormat="false" ht="31.5" hidden="false" customHeight="true" outlineLevel="0" collapsed="false">
      <c r="A220" s="15" t="s">
        <v>1800</v>
      </c>
      <c r="B220" s="7" t="s">
        <v>426</v>
      </c>
      <c r="C220" s="9" t="s">
        <v>1061</v>
      </c>
      <c r="D220" s="7" t="s">
        <v>135</v>
      </c>
      <c r="E220" s="9" t="s">
        <v>701</v>
      </c>
      <c r="F220" s="9" t="s">
        <v>138</v>
      </c>
      <c r="G220" s="7" t="s">
        <v>1451</v>
      </c>
      <c r="H220" s="9" t="s">
        <v>1799</v>
      </c>
      <c r="I220" s="8" t="n">
        <v>46392</v>
      </c>
      <c r="J220" s="7" t="s">
        <v>1222</v>
      </c>
    </row>
    <row r="221" customFormat="false" ht="31.5" hidden="false" customHeight="true" outlineLevel="0" collapsed="false">
      <c r="A221" s="15" t="s">
        <v>1801</v>
      </c>
      <c r="B221" s="7" t="s">
        <v>426</v>
      </c>
      <c r="C221" s="9" t="s">
        <v>1061</v>
      </c>
      <c r="D221" s="7" t="s">
        <v>330</v>
      </c>
      <c r="E221" s="9" t="s">
        <v>942</v>
      </c>
      <c r="F221" s="9" t="s">
        <v>332</v>
      </c>
      <c r="G221" s="7" t="s">
        <v>1441</v>
      </c>
      <c r="H221" s="9" t="s">
        <v>1799</v>
      </c>
      <c r="I221" s="8" t="n">
        <v>46392</v>
      </c>
      <c r="J221" s="7" t="s">
        <v>1222</v>
      </c>
    </row>
    <row r="222" customFormat="false" ht="31.5" hidden="false" customHeight="true" outlineLevel="0" collapsed="false">
      <c r="A222" s="15" t="s">
        <v>1802</v>
      </c>
      <c r="B222" s="7" t="s">
        <v>34</v>
      </c>
      <c r="C222" s="9" t="s">
        <v>584</v>
      </c>
      <c r="D222" s="7" t="s">
        <v>434</v>
      </c>
      <c r="E222" s="9" t="s">
        <v>1073</v>
      </c>
      <c r="F222" s="9" t="s">
        <v>436</v>
      </c>
      <c r="G222" s="7" t="s">
        <v>1451</v>
      </c>
      <c r="H222" s="9" t="s">
        <v>1803</v>
      </c>
      <c r="I222" s="8" t="n">
        <v>46394</v>
      </c>
      <c r="J222" s="7" t="s">
        <v>1222</v>
      </c>
    </row>
    <row r="223" customFormat="false" ht="31.5" hidden="false" customHeight="true" outlineLevel="0" collapsed="false">
      <c r="A223" s="15" t="s">
        <v>1804</v>
      </c>
      <c r="B223" s="7" t="s">
        <v>252</v>
      </c>
      <c r="C223" s="9" t="s">
        <v>842</v>
      </c>
      <c r="D223" s="7" t="s">
        <v>434</v>
      </c>
      <c r="E223" s="9" t="s">
        <v>1073</v>
      </c>
      <c r="F223" s="9" t="s">
        <v>436</v>
      </c>
      <c r="G223" s="7" t="s">
        <v>1441</v>
      </c>
      <c r="H223" s="9" t="s">
        <v>1805</v>
      </c>
      <c r="I223" s="8" t="n">
        <v>46394</v>
      </c>
      <c r="J223" s="7" t="s">
        <v>1222</v>
      </c>
    </row>
    <row r="224" customFormat="false" ht="31.5" hidden="false" customHeight="true" outlineLevel="0" collapsed="false">
      <c r="A224" s="15" t="s">
        <v>1806</v>
      </c>
      <c r="B224" s="7" t="s">
        <v>339</v>
      </c>
      <c r="C224" s="9" t="s">
        <v>954</v>
      </c>
      <c r="D224" s="7" t="s">
        <v>434</v>
      </c>
      <c r="E224" s="9" t="s">
        <v>1073</v>
      </c>
      <c r="F224" s="9" t="s">
        <v>436</v>
      </c>
      <c r="G224" s="7" t="s">
        <v>1441</v>
      </c>
      <c r="H224" s="9" t="s">
        <v>1807</v>
      </c>
      <c r="I224" s="8" t="n">
        <v>46394</v>
      </c>
      <c r="J224" s="7" t="s">
        <v>1222</v>
      </c>
    </row>
    <row r="225" customFormat="false" ht="31.5" hidden="false" customHeight="true" outlineLevel="0" collapsed="false">
      <c r="A225" s="15" t="s">
        <v>1808</v>
      </c>
      <c r="B225" s="7" t="s">
        <v>434</v>
      </c>
      <c r="C225" s="9" t="s">
        <v>1073</v>
      </c>
      <c r="D225" s="7" t="s">
        <v>34</v>
      </c>
      <c r="E225" s="9" t="s">
        <v>584</v>
      </c>
      <c r="F225" s="9" t="s">
        <v>37</v>
      </c>
      <c r="G225" s="7" t="s">
        <v>1451</v>
      </c>
      <c r="H225" s="9" t="s">
        <v>1809</v>
      </c>
      <c r="I225" s="8" t="n">
        <v>46394</v>
      </c>
      <c r="J225" s="7" t="s">
        <v>1222</v>
      </c>
    </row>
    <row r="226" customFormat="false" ht="31.5" hidden="false" customHeight="true" outlineLevel="0" collapsed="false">
      <c r="A226" s="15" t="s">
        <v>1810</v>
      </c>
      <c r="B226" s="7" t="s">
        <v>434</v>
      </c>
      <c r="C226" s="9" t="s">
        <v>1073</v>
      </c>
      <c r="D226" s="7" t="s">
        <v>252</v>
      </c>
      <c r="E226" s="9" t="s">
        <v>842</v>
      </c>
      <c r="F226" s="9" t="s">
        <v>254</v>
      </c>
      <c r="G226" s="7" t="s">
        <v>1441</v>
      </c>
      <c r="H226" s="9" t="s">
        <v>1809</v>
      </c>
      <c r="I226" s="8" t="n">
        <v>46394</v>
      </c>
      <c r="J226" s="7" t="s">
        <v>1222</v>
      </c>
    </row>
    <row r="227" customFormat="false" ht="31.5" hidden="false" customHeight="true" outlineLevel="0" collapsed="false">
      <c r="A227" s="15" t="s">
        <v>1811</v>
      </c>
      <c r="B227" s="7" t="s">
        <v>434</v>
      </c>
      <c r="C227" s="9" t="s">
        <v>1073</v>
      </c>
      <c r="D227" s="7" t="s">
        <v>339</v>
      </c>
      <c r="E227" s="9" t="s">
        <v>954</v>
      </c>
      <c r="F227" s="9" t="s">
        <v>341</v>
      </c>
      <c r="G227" s="7" t="s">
        <v>1441</v>
      </c>
      <c r="H227" s="9" t="s">
        <v>1809</v>
      </c>
      <c r="I227" s="8" t="n">
        <v>46394</v>
      </c>
      <c r="J227" s="7" t="s">
        <v>1222</v>
      </c>
    </row>
    <row r="228" customFormat="false" ht="31.5" hidden="false" customHeight="true" outlineLevel="0" collapsed="false">
      <c r="A228" s="15" t="s">
        <v>1812</v>
      </c>
      <c r="B228" s="7" t="s">
        <v>43</v>
      </c>
      <c r="C228" s="9" t="s">
        <v>596</v>
      </c>
      <c r="D228" s="7" t="s">
        <v>443</v>
      </c>
      <c r="E228" s="9" t="s">
        <v>1084</v>
      </c>
      <c r="F228" s="9" t="s">
        <v>445</v>
      </c>
      <c r="G228" s="7" t="s">
        <v>1451</v>
      </c>
      <c r="H228" s="9" t="s">
        <v>1813</v>
      </c>
      <c r="I228" s="8" t="n">
        <v>46396</v>
      </c>
      <c r="J228" s="7" t="s">
        <v>1222</v>
      </c>
    </row>
    <row r="229" customFormat="false" ht="31.5" hidden="false" customHeight="true" outlineLevel="0" collapsed="false">
      <c r="A229" s="15" t="s">
        <v>1814</v>
      </c>
      <c r="B229" s="7" t="s">
        <v>101</v>
      </c>
      <c r="C229" s="9" t="s">
        <v>664</v>
      </c>
      <c r="D229" s="7" t="s">
        <v>443</v>
      </c>
      <c r="E229" s="9" t="s">
        <v>1084</v>
      </c>
      <c r="F229" s="9" t="s">
        <v>445</v>
      </c>
      <c r="G229" s="7" t="s">
        <v>1441</v>
      </c>
      <c r="H229" s="9" t="s">
        <v>1815</v>
      </c>
      <c r="I229" s="8" t="n">
        <v>46396</v>
      </c>
      <c r="J229" s="7" t="s">
        <v>1222</v>
      </c>
    </row>
    <row r="230" customFormat="false" ht="31.5" hidden="false" customHeight="true" outlineLevel="0" collapsed="false">
      <c r="A230" s="15" t="s">
        <v>1816</v>
      </c>
      <c r="B230" s="7" t="s">
        <v>209</v>
      </c>
      <c r="C230" s="9" t="s">
        <v>789</v>
      </c>
      <c r="D230" s="7" t="s">
        <v>443</v>
      </c>
      <c r="E230" s="9" t="s">
        <v>1084</v>
      </c>
      <c r="F230" s="9" t="s">
        <v>445</v>
      </c>
      <c r="G230" s="7" t="s">
        <v>1441</v>
      </c>
      <c r="H230" s="9" t="s">
        <v>1817</v>
      </c>
      <c r="I230" s="8" t="n">
        <v>46396</v>
      </c>
      <c r="J230" s="7" t="s">
        <v>1222</v>
      </c>
    </row>
    <row r="231" customFormat="false" ht="31.5" hidden="false" customHeight="true" outlineLevel="0" collapsed="false">
      <c r="A231" s="15" t="s">
        <v>1818</v>
      </c>
      <c r="B231" s="7" t="s">
        <v>305</v>
      </c>
      <c r="C231" s="9" t="s">
        <v>910</v>
      </c>
      <c r="D231" s="7" t="s">
        <v>443</v>
      </c>
      <c r="E231" s="9" t="s">
        <v>1084</v>
      </c>
      <c r="F231" s="9" t="s">
        <v>445</v>
      </c>
      <c r="G231" s="7" t="s">
        <v>1441</v>
      </c>
      <c r="H231" s="9" t="s">
        <v>1819</v>
      </c>
      <c r="I231" s="8" t="n">
        <v>46396</v>
      </c>
      <c r="J231" s="7" t="s">
        <v>1222</v>
      </c>
    </row>
    <row r="232" customFormat="false" ht="31.5" hidden="false" customHeight="true" outlineLevel="0" collapsed="false">
      <c r="A232" s="15" t="s">
        <v>1820</v>
      </c>
      <c r="B232" s="7" t="s">
        <v>443</v>
      </c>
      <c r="C232" s="9" t="s">
        <v>1084</v>
      </c>
      <c r="D232" s="7" t="s">
        <v>43</v>
      </c>
      <c r="E232" s="9" t="s">
        <v>596</v>
      </c>
      <c r="F232" s="9" t="s">
        <v>46</v>
      </c>
      <c r="G232" s="7" t="s">
        <v>1451</v>
      </c>
      <c r="H232" s="9" t="s">
        <v>1821</v>
      </c>
      <c r="I232" s="8" t="n">
        <v>46396</v>
      </c>
      <c r="J232" s="7" t="s">
        <v>1222</v>
      </c>
    </row>
    <row r="233" customFormat="false" ht="31.5" hidden="false" customHeight="true" outlineLevel="0" collapsed="false">
      <c r="A233" s="15" t="s">
        <v>1822</v>
      </c>
      <c r="B233" s="7" t="s">
        <v>443</v>
      </c>
      <c r="C233" s="9" t="s">
        <v>1084</v>
      </c>
      <c r="D233" s="7" t="s">
        <v>101</v>
      </c>
      <c r="E233" s="9" t="s">
        <v>664</v>
      </c>
      <c r="F233" s="9" t="s">
        <v>107</v>
      </c>
      <c r="G233" s="7" t="s">
        <v>1441</v>
      </c>
      <c r="H233" s="9" t="s">
        <v>1821</v>
      </c>
      <c r="I233" s="8" t="n">
        <v>46396</v>
      </c>
      <c r="J233" s="7" t="s">
        <v>1222</v>
      </c>
    </row>
    <row r="234" customFormat="false" ht="31.5" hidden="false" customHeight="true" outlineLevel="0" collapsed="false">
      <c r="A234" s="15" t="s">
        <v>1823</v>
      </c>
      <c r="B234" s="7" t="s">
        <v>443</v>
      </c>
      <c r="C234" s="9" t="s">
        <v>1084</v>
      </c>
      <c r="D234" s="7" t="s">
        <v>209</v>
      </c>
      <c r="E234" s="9" t="s">
        <v>789</v>
      </c>
      <c r="F234" s="9" t="s">
        <v>211</v>
      </c>
      <c r="G234" s="7" t="s">
        <v>1441</v>
      </c>
      <c r="H234" s="9" t="s">
        <v>1821</v>
      </c>
      <c r="I234" s="8" t="n">
        <v>46396</v>
      </c>
      <c r="J234" s="7" t="s">
        <v>1222</v>
      </c>
    </row>
    <row r="235" customFormat="false" ht="31.5" hidden="false" customHeight="true" outlineLevel="0" collapsed="false">
      <c r="A235" s="15" t="s">
        <v>1824</v>
      </c>
      <c r="B235" s="7" t="s">
        <v>443</v>
      </c>
      <c r="C235" s="9" t="s">
        <v>1084</v>
      </c>
      <c r="D235" s="7" t="s">
        <v>305</v>
      </c>
      <c r="E235" s="9" t="s">
        <v>910</v>
      </c>
      <c r="F235" s="9" t="s">
        <v>307</v>
      </c>
      <c r="G235" s="7" t="s">
        <v>1441</v>
      </c>
      <c r="H235" s="9" t="s">
        <v>1821</v>
      </c>
      <c r="I235" s="8" t="n">
        <v>46396</v>
      </c>
      <c r="J235" s="7" t="s">
        <v>1222</v>
      </c>
    </row>
    <row r="236" customFormat="false" ht="31.5" hidden="false" customHeight="true" outlineLevel="0" collapsed="false">
      <c r="A236" s="15" t="s">
        <v>1825</v>
      </c>
      <c r="B236" s="7" t="s">
        <v>43</v>
      </c>
      <c r="C236" s="9" t="s">
        <v>596</v>
      </c>
      <c r="D236" s="7" t="s">
        <v>452</v>
      </c>
      <c r="E236" s="9" t="s">
        <v>1095</v>
      </c>
      <c r="F236" s="9" t="s">
        <v>454</v>
      </c>
      <c r="G236" s="7" t="s">
        <v>1451</v>
      </c>
      <c r="H236" s="9" t="s">
        <v>1826</v>
      </c>
      <c r="I236" s="8" t="n">
        <v>46399</v>
      </c>
      <c r="J236" s="7" t="s">
        <v>1222</v>
      </c>
    </row>
    <row r="237" customFormat="false" ht="31.5" hidden="false" customHeight="true" outlineLevel="0" collapsed="false">
      <c r="A237" s="15" t="s">
        <v>1827</v>
      </c>
      <c r="B237" s="7" t="s">
        <v>330</v>
      </c>
      <c r="C237" s="9" t="s">
        <v>942</v>
      </c>
      <c r="D237" s="7" t="s">
        <v>452</v>
      </c>
      <c r="E237" s="9" t="s">
        <v>1095</v>
      </c>
      <c r="F237" s="9" t="s">
        <v>454</v>
      </c>
      <c r="G237" s="7" t="s">
        <v>1441</v>
      </c>
      <c r="H237" s="9" t="s">
        <v>1828</v>
      </c>
      <c r="I237" s="8" t="n">
        <v>46399</v>
      </c>
      <c r="J237" s="7" t="s">
        <v>1222</v>
      </c>
    </row>
    <row r="238" customFormat="false" ht="31.5" hidden="false" customHeight="true" outlineLevel="0" collapsed="false">
      <c r="A238" s="15" t="s">
        <v>1829</v>
      </c>
      <c r="B238" s="7" t="s">
        <v>399</v>
      </c>
      <c r="C238" s="9" t="s">
        <v>1030</v>
      </c>
      <c r="D238" s="7" t="s">
        <v>452</v>
      </c>
      <c r="E238" s="9" t="s">
        <v>1095</v>
      </c>
      <c r="F238" s="9" t="s">
        <v>454</v>
      </c>
      <c r="G238" s="7" t="s">
        <v>1441</v>
      </c>
      <c r="H238" s="9" t="s">
        <v>1830</v>
      </c>
      <c r="I238" s="8" t="n">
        <v>46399</v>
      </c>
      <c r="J238" s="7" t="s">
        <v>1222</v>
      </c>
    </row>
    <row r="239" customFormat="false" ht="31.5" hidden="false" customHeight="true" outlineLevel="0" collapsed="false">
      <c r="A239" s="15" t="s">
        <v>1831</v>
      </c>
      <c r="B239" s="7" t="s">
        <v>426</v>
      </c>
      <c r="C239" s="9" t="s">
        <v>1061</v>
      </c>
      <c r="D239" s="7" t="s">
        <v>452</v>
      </c>
      <c r="E239" s="9" t="s">
        <v>1095</v>
      </c>
      <c r="F239" s="9" t="s">
        <v>454</v>
      </c>
      <c r="G239" s="7" t="s">
        <v>1441</v>
      </c>
      <c r="H239" s="9" t="s">
        <v>1832</v>
      </c>
      <c r="I239" s="8" t="n">
        <v>46399</v>
      </c>
      <c r="J239" s="7" t="s">
        <v>1222</v>
      </c>
    </row>
    <row r="240" customFormat="false" ht="31.5" hidden="false" customHeight="true" outlineLevel="0" collapsed="false">
      <c r="A240" s="15" t="s">
        <v>1833</v>
      </c>
      <c r="B240" s="7" t="s">
        <v>452</v>
      </c>
      <c r="C240" s="9" t="s">
        <v>1095</v>
      </c>
      <c r="D240" s="7" t="s">
        <v>43</v>
      </c>
      <c r="E240" s="9" t="s">
        <v>596</v>
      </c>
      <c r="F240" s="9" t="s">
        <v>46</v>
      </c>
      <c r="G240" s="7" t="s">
        <v>1451</v>
      </c>
      <c r="H240" s="9" t="s">
        <v>1834</v>
      </c>
      <c r="I240" s="8" t="n">
        <v>46399</v>
      </c>
      <c r="J240" s="7" t="s">
        <v>1222</v>
      </c>
    </row>
    <row r="241" customFormat="false" ht="31.5" hidden="false" customHeight="true" outlineLevel="0" collapsed="false">
      <c r="A241" s="15" t="s">
        <v>1835</v>
      </c>
      <c r="B241" s="7" t="s">
        <v>452</v>
      </c>
      <c r="C241" s="9" t="s">
        <v>1095</v>
      </c>
      <c r="D241" s="7" t="s">
        <v>330</v>
      </c>
      <c r="E241" s="9" t="s">
        <v>942</v>
      </c>
      <c r="F241" s="9" t="s">
        <v>332</v>
      </c>
      <c r="G241" s="7" t="s">
        <v>1441</v>
      </c>
      <c r="H241" s="9" t="s">
        <v>1834</v>
      </c>
      <c r="I241" s="8" t="n">
        <v>46399</v>
      </c>
      <c r="J241" s="7" t="s">
        <v>1222</v>
      </c>
    </row>
    <row r="242" customFormat="false" ht="31.5" hidden="false" customHeight="true" outlineLevel="0" collapsed="false">
      <c r="A242" s="15" t="s">
        <v>1836</v>
      </c>
      <c r="B242" s="7" t="s">
        <v>452</v>
      </c>
      <c r="C242" s="9" t="s">
        <v>1095</v>
      </c>
      <c r="D242" s="7" t="s">
        <v>399</v>
      </c>
      <c r="E242" s="9" t="s">
        <v>1030</v>
      </c>
      <c r="F242" s="9" t="s">
        <v>401</v>
      </c>
      <c r="G242" s="7" t="s">
        <v>1441</v>
      </c>
      <c r="H242" s="9" t="s">
        <v>1834</v>
      </c>
      <c r="I242" s="8" t="n">
        <v>46399</v>
      </c>
      <c r="J242" s="7" t="s">
        <v>1222</v>
      </c>
    </row>
    <row r="243" customFormat="false" ht="31.5" hidden="false" customHeight="true" outlineLevel="0" collapsed="false">
      <c r="A243" s="15" t="s">
        <v>1837</v>
      </c>
      <c r="B243" s="7" t="s">
        <v>452</v>
      </c>
      <c r="C243" s="9" t="s">
        <v>1095</v>
      </c>
      <c r="D243" s="7" t="s">
        <v>426</v>
      </c>
      <c r="E243" s="9" t="s">
        <v>1061</v>
      </c>
      <c r="F243" s="9" t="s">
        <v>428</v>
      </c>
      <c r="G243" s="7" t="s">
        <v>1441</v>
      </c>
      <c r="H243" s="9" t="s">
        <v>1834</v>
      </c>
      <c r="I243" s="8" t="n">
        <v>46399</v>
      </c>
      <c r="J243" s="7" t="s">
        <v>1222</v>
      </c>
    </row>
    <row r="244" customFormat="false" ht="31.5" hidden="false" customHeight="true" outlineLevel="0" collapsed="false">
      <c r="A244" s="15" t="s">
        <v>1838</v>
      </c>
      <c r="B244" s="7" t="s">
        <v>135</v>
      </c>
      <c r="C244" s="9" t="s">
        <v>701</v>
      </c>
      <c r="D244" s="7" t="s">
        <v>460</v>
      </c>
      <c r="E244" s="9" t="s">
        <v>1106</v>
      </c>
      <c r="F244" s="9" t="s">
        <v>462</v>
      </c>
      <c r="G244" s="7" t="s">
        <v>1451</v>
      </c>
      <c r="H244" s="9" t="s">
        <v>1839</v>
      </c>
      <c r="I244" s="8" t="n">
        <v>46401</v>
      </c>
      <c r="J244" s="7" t="s">
        <v>1222</v>
      </c>
    </row>
    <row r="245" customFormat="false" ht="31.5" hidden="false" customHeight="true" outlineLevel="0" collapsed="false">
      <c r="A245" s="15" t="s">
        <v>1840</v>
      </c>
      <c r="B245" s="7" t="s">
        <v>347</v>
      </c>
      <c r="C245" s="9" t="s">
        <v>966</v>
      </c>
      <c r="D245" s="7" t="s">
        <v>460</v>
      </c>
      <c r="E245" s="9" t="s">
        <v>1106</v>
      </c>
      <c r="F245" s="9" t="s">
        <v>462</v>
      </c>
      <c r="G245" s="7" t="s">
        <v>1441</v>
      </c>
      <c r="H245" s="9" t="s">
        <v>1841</v>
      </c>
      <c r="I245" s="8" t="n">
        <v>46401</v>
      </c>
      <c r="J245" s="7" t="s">
        <v>1222</v>
      </c>
    </row>
    <row r="246" customFormat="false" ht="31.5" hidden="false" customHeight="true" outlineLevel="0" collapsed="false">
      <c r="A246" s="15" t="s">
        <v>1842</v>
      </c>
      <c r="B246" s="7" t="s">
        <v>426</v>
      </c>
      <c r="C246" s="9" t="s">
        <v>1061</v>
      </c>
      <c r="D246" s="7" t="s">
        <v>460</v>
      </c>
      <c r="E246" s="9" t="s">
        <v>1106</v>
      </c>
      <c r="F246" s="9" t="s">
        <v>462</v>
      </c>
      <c r="G246" s="7" t="s">
        <v>1441</v>
      </c>
      <c r="H246" s="9" t="s">
        <v>1843</v>
      </c>
      <c r="I246" s="8" t="n">
        <v>46401</v>
      </c>
      <c r="J246" s="7" t="s">
        <v>1222</v>
      </c>
    </row>
    <row r="247" customFormat="false" ht="31.5" hidden="false" customHeight="true" outlineLevel="0" collapsed="false">
      <c r="A247" s="15" t="s">
        <v>1844</v>
      </c>
      <c r="B247" s="7" t="s">
        <v>460</v>
      </c>
      <c r="C247" s="9" t="s">
        <v>1106</v>
      </c>
      <c r="D247" s="7" t="s">
        <v>135</v>
      </c>
      <c r="E247" s="9" t="s">
        <v>701</v>
      </c>
      <c r="F247" s="9" t="s">
        <v>138</v>
      </c>
      <c r="G247" s="7" t="s">
        <v>1451</v>
      </c>
      <c r="H247" s="9" t="s">
        <v>1845</v>
      </c>
      <c r="I247" s="8" t="n">
        <v>46401</v>
      </c>
      <c r="J247" s="7" t="s">
        <v>1222</v>
      </c>
    </row>
    <row r="248" customFormat="false" ht="31.5" hidden="false" customHeight="true" outlineLevel="0" collapsed="false">
      <c r="A248" s="15" t="s">
        <v>1846</v>
      </c>
      <c r="B248" s="7" t="s">
        <v>460</v>
      </c>
      <c r="C248" s="9" t="s">
        <v>1106</v>
      </c>
      <c r="D248" s="7" t="s">
        <v>347</v>
      </c>
      <c r="E248" s="9" t="s">
        <v>966</v>
      </c>
      <c r="F248" s="9" t="s">
        <v>349</v>
      </c>
      <c r="G248" s="7" t="s">
        <v>1441</v>
      </c>
      <c r="H248" s="9" t="s">
        <v>1845</v>
      </c>
      <c r="I248" s="8" t="n">
        <v>46401</v>
      </c>
      <c r="J248" s="7" t="s">
        <v>1222</v>
      </c>
    </row>
    <row r="249" customFormat="false" ht="31.5" hidden="false" customHeight="true" outlineLevel="0" collapsed="false">
      <c r="A249" s="15" t="s">
        <v>1847</v>
      </c>
      <c r="B249" s="7" t="s">
        <v>460</v>
      </c>
      <c r="C249" s="9" t="s">
        <v>1106</v>
      </c>
      <c r="D249" s="7" t="s">
        <v>426</v>
      </c>
      <c r="E249" s="9" t="s">
        <v>1061</v>
      </c>
      <c r="F249" s="9" t="s">
        <v>428</v>
      </c>
      <c r="G249" s="7" t="s">
        <v>1441</v>
      </c>
      <c r="H249" s="9" t="s">
        <v>1845</v>
      </c>
      <c r="I249" s="8" t="n">
        <v>46401</v>
      </c>
      <c r="J249" s="7" t="s">
        <v>1222</v>
      </c>
    </row>
    <row r="250" customFormat="false" ht="31.5" hidden="false" customHeight="true" outlineLevel="0" collapsed="false">
      <c r="A250" s="15" t="s">
        <v>1848</v>
      </c>
      <c r="B250" s="7" t="s">
        <v>34</v>
      </c>
      <c r="C250" s="9" t="s">
        <v>584</v>
      </c>
      <c r="D250" s="7" t="s">
        <v>468</v>
      </c>
      <c r="E250" s="9" t="s">
        <v>1116</v>
      </c>
      <c r="F250" s="9" t="s">
        <v>470</v>
      </c>
      <c r="G250" s="7" t="s">
        <v>1441</v>
      </c>
      <c r="H250" s="9" t="s">
        <v>1849</v>
      </c>
      <c r="I250" s="8" t="n">
        <v>46403</v>
      </c>
      <c r="J250" s="7" t="s">
        <v>1222</v>
      </c>
    </row>
    <row r="251" customFormat="false" ht="31.5" hidden="false" customHeight="true" outlineLevel="0" collapsed="false">
      <c r="A251" s="15" t="s">
        <v>1850</v>
      </c>
      <c r="B251" s="7" t="s">
        <v>63</v>
      </c>
      <c r="C251" s="9" t="s">
        <v>620</v>
      </c>
      <c r="D251" s="7" t="s">
        <v>468</v>
      </c>
      <c r="E251" s="9" t="s">
        <v>1116</v>
      </c>
      <c r="F251" s="9" t="s">
        <v>470</v>
      </c>
      <c r="G251" s="7" t="s">
        <v>1451</v>
      </c>
      <c r="H251" s="9" t="s">
        <v>1851</v>
      </c>
      <c r="I251" s="8" t="n">
        <v>46403</v>
      </c>
      <c r="J251" s="7" t="s">
        <v>1222</v>
      </c>
    </row>
    <row r="252" customFormat="false" ht="31.5" hidden="false" customHeight="true" outlineLevel="0" collapsed="false">
      <c r="A252" s="15" t="s">
        <v>1852</v>
      </c>
      <c r="B252" s="7" t="s">
        <v>163</v>
      </c>
      <c r="C252" s="9" t="s">
        <v>732</v>
      </c>
      <c r="D252" s="7" t="s">
        <v>468</v>
      </c>
      <c r="E252" s="9" t="s">
        <v>1116</v>
      </c>
      <c r="F252" s="9" t="s">
        <v>470</v>
      </c>
      <c r="G252" s="7" t="s">
        <v>1441</v>
      </c>
      <c r="H252" s="9" t="s">
        <v>1853</v>
      </c>
      <c r="I252" s="8" t="n">
        <v>46403</v>
      </c>
      <c r="J252" s="7" t="s">
        <v>1222</v>
      </c>
    </row>
    <row r="253" customFormat="false" ht="31.5" hidden="false" customHeight="true" outlineLevel="0" collapsed="false">
      <c r="A253" s="15" t="s">
        <v>1854</v>
      </c>
      <c r="B253" s="7" t="s">
        <v>172</v>
      </c>
      <c r="C253" s="9" t="s">
        <v>743</v>
      </c>
      <c r="D253" s="7" t="s">
        <v>468</v>
      </c>
      <c r="E253" s="9" t="s">
        <v>1116</v>
      </c>
      <c r="F253" s="9" t="s">
        <v>470</v>
      </c>
      <c r="G253" s="7" t="s">
        <v>1441</v>
      </c>
      <c r="H253" s="9" t="s">
        <v>1855</v>
      </c>
      <c r="I253" s="8" t="n">
        <v>46403</v>
      </c>
      <c r="J253" s="7" t="s">
        <v>1222</v>
      </c>
    </row>
    <row r="254" customFormat="false" ht="31.5" hidden="false" customHeight="true" outlineLevel="0" collapsed="false">
      <c r="A254" s="15" t="s">
        <v>1856</v>
      </c>
      <c r="B254" s="7" t="s">
        <v>365</v>
      </c>
      <c r="C254" s="9" t="s">
        <v>988</v>
      </c>
      <c r="D254" s="7" t="s">
        <v>468</v>
      </c>
      <c r="E254" s="9" t="s">
        <v>1116</v>
      </c>
      <c r="F254" s="9" t="s">
        <v>470</v>
      </c>
      <c r="G254" s="7" t="s">
        <v>1441</v>
      </c>
      <c r="H254" s="9" t="s">
        <v>1857</v>
      </c>
      <c r="I254" s="8" t="n">
        <v>46403</v>
      </c>
      <c r="J254" s="7" t="s">
        <v>1222</v>
      </c>
    </row>
    <row r="255" customFormat="false" ht="31.5" hidden="false" customHeight="true" outlineLevel="0" collapsed="false">
      <c r="A255" s="15" t="s">
        <v>1858</v>
      </c>
      <c r="B255" s="7" t="s">
        <v>468</v>
      </c>
      <c r="C255" s="9" t="s">
        <v>1116</v>
      </c>
      <c r="D255" s="7" t="s">
        <v>34</v>
      </c>
      <c r="E255" s="9" t="s">
        <v>584</v>
      </c>
      <c r="F255" s="9" t="s">
        <v>37</v>
      </c>
      <c r="G255" s="7" t="s">
        <v>1441</v>
      </c>
      <c r="H255" s="9" t="s">
        <v>1859</v>
      </c>
      <c r="I255" s="8" t="n">
        <v>46403</v>
      </c>
      <c r="J255" s="7" t="s">
        <v>1222</v>
      </c>
    </row>
    <row r="256" customFormat="false" ht="31.5" hidden="false" customHeight="true" outlineLevel="0" collapsed="false">
      <c r="A256" s="15" t="s">
        <v>1860</v>
      </c>
      <c r="B256" s="7" t="s">
        <v>468</v>
      </c>
      <c r="C256" s="9" t="s">
        <v>1116</v>
      </c>
      <c r="D256" s="7" t="s">
        <v>63</v>
      </c>
      <c r="E256" s="9" t="s">
        <v>620</v>
      </c>
      <c r="F256" s="9" t="s">
        <v>66</v>
      </c>
      <c r="G256" s="7" t="s">
        <v>1451</v>
      </c>
      <c r="H256" s="9" t="s">
        <v>1859</v>
      </c>
      <c r="I256" s="8" t="n">
        <v>46403</v>
      </c>
      <c r="J256" s="7" t="s">
        <v>1222</v>
      </c>
    </row>
    <row r="257" customFormat="false" ht="31.5" hidden="false" customHeight="true" outlineLevel="0" collapsed="false">
      <c r="A257" s="15" t="s">
        <v>1861</v>
      </c>
      <c r="B257" s="7" t="s">
        <v>468</v>
      </c>
      <c r="C257" s="9" t="s">
        <v>1116</v>
      </c>
      <c r="D257" s="7" t="s">
        <v>163</v>
      </c>
      <c r="E257" s="9" t="s">
        <v>732</v>
      </c>
      <c r="F257" s="9" t="s">
        <v>165</v>
      </c>
      <c r="G257" s="7" t="s">
        <v>1441</v>
      </c>
      <c r="H257" s="9" t="s">
        <v>1859</v>
      </c>
      <c r="I257" s="8" t="n">
        <v>46403</v>
      </c>
      <c r="J257" s="7" t="s">
        <v>1222</v>
      </c>
    </row>
    <row r="258" customFormat="false" ht="31.5" hidden="false" customHeight="true" outlineLevel="0" collapsed="false">
      <c r="A258" s="15" t="s">
        <v>1862</v>
      </c>
      <c r="B258" s="7" t="s">
        <v>468</v>
      </c>
      <c r="C258" s="9" t="s">
        <v>1116</v>
      </c>
      <c r="D258" s="7" t="s">
        <v>172</v>
      </c>
      <c r="E258" s="9" t="s">
        <v>743</v>
      </c>
      <c r="F258" s="9" t="s">
        <v>174</v>
      </c>
      <c r="G258" s="7" t="s">
        <v>1441</v>
      </c>
      <c r="H258" s="9" t="s">
        <v>1859</v>
      </c>
      <c r="I258" s="8" t="n">
        <v>46403</v>
      </c>
      <c r="J258" s="7" t="s">
        <v>1222</v>
      </c>
    </row>
    <row r="259" customFormat="false" ht="31.5" hidden="false" customHeight="true" outlineLevel="0" collapsed="false">
      <c r="A259" s="15" t="s">
        <v>1863</v>
      </c>
      <c r="B259" s="7" t="s">
        <v>468</v>
      </c>
      <c r="C259" s="9" t="s">
        <v>1116</v>
      </c>
      <c r="D259" s="7" t="s">
        <v>365</v>
      </c>
      <c r="E259" s="9" t="s">
        <v>988</v>
      </c>
      <c r="F259" s="9" t="s">
        <v>367</v>
      </c>
      <c r="G259" s="7" t="s">
        <v>1441</v>
      </c>
      <c r="H259" s="9" t="s">
        <v>1859</v>
      </c>
      <c r="I259" s="8" t="n">
        <v>46403</v>
      </c>
      <c r="J259" s="7" t="s">
        <v>1222</v>
      </c>
    </row>
    <row r="260" customFormat="false" ht="31.5" hidden="false" customHeight="true" outlineLevel="0" collapsed="false">
      <c r="A260" s="15" t="s">
        <v>1864</v>
      </c>
      <c r="B260" s="7" t="s">
        <v>34</v>
      </c>
      <c r="C260" s="9" t="s">
        <v>584</v>
      </c>
      <c r="D260" s="7" t="s">
        <v>476</v>
      </c>
      <c r="E260" s="9" t="s">
        <v>1126</v>
      </c>
      <c r="F260" s="9" t="s">
        <v>478</v>
      </c>
      <c r="G260" s="7" t="s">
        <v>1451</v>
      </c>
      <c r="H260" s="9" t="s">
        <v>1865</v>
      </c>
      <c r="I260" s="8" t="n">
        <v>46406</v>
      </c>
      <c r="J260" s="7" t="s">
        <v>1222</v>
      </c>
    </row>
    <row r="261" customFormat="false" ht="31.5" hidden="false" customHeight="true" outlineLevel="0" collapsed="false">
      <c r="A261" s="15" t="s">
        <v>1866</v>
      </c>
      <c r="B261" s="7" t="s">
        <v>330</v>
      </c>
      <c r="C261" s="9" t="s">
        <v>942</v>
      </c>
      <c r="D261" s="7" t="s">
        <v>476</v>
      </c>
      <c r="E261" s="9" t="s">
        <v>1126</v>
      </c>
      <c r="F261" s="9" t="s">
        <v>478</v>
      </c>
      <c r="G261" s="7" t="s">
        <v>1441</v>
      </c>
      <c r="H261" s="9" t="s">
        <v>1867</v>
      </c>
      <c r="I261" s="8" t="n">
        <v>46406</v>
      </c>
      <c r="J261" s="7" t="s">
        <v>1222</v>
      </c>
    </row>
    <row r="262" customFormat="false" ht="31.5" hidden="false" customHeight="true" outlineLevel="0" collapsed="false">
      <c r="A262" s="15" t="s">
        <v>1868</v>
      </c>
      <c r="B262" s="7" t="s">
        <v>399</v>
      </c>
      <c r="C262" s="9" t="s">
        <v>1030</v>
      </c>
      <c r="D262" s="7" t="s">
        <v>476</v>
      </c>
      <c r="E262" s="9" t="s">
        <v>1126</v>
      </c>
      <c r="F262" s="9" t="s">
        <v>478</v>
      </c>
      <c r="G262" s="7" t="s">
        <v>1441</v>
      </c>
      <c r="H262" s="9" t="s">
        <v>1869</v>
      </c>
      <c r="I262" s="8" t="n">
        <v>46406</v>
      </c>
      <c r="J262" s="7" t="s">
        <v>1222</v>
      </c>
    </row>
    <row r="263" customFormat="false" ht="31.5" hidden="false" customHeight="true" outlineLevel="0" collapsed="false">
      <c r="A263" s="15" t="s">
        <v>1870</v>
      </c>
      <c r="B263" s="7" t="s">
        <v>426</v>
      </c>
      <c r="C263" s="9" t="s">
        <v>1061</v>
      </c>
      <c r="D263" s="7" t="s">
        <v>476</v>
      </c>
      <c r="E263" s="9" t="s">
        <v>1126</v>
      </c>
      <c r="F263" s="9" t="s">
        <v>478</v>
      </c>
      <c r="G263" s="7" t="s">
        <v>1441</v>
      </c>
      <c r="H263" s="9" t="s">
        <v>1871</v>
      </c>
      <c r="I263" s="8" t="n">
        <v>46406</v>
      </c>
      <c r="J263" s="7" t="s">
        <v>1222</v>
      </c>
    </row>
    <row r="264" customFormat="false" ht="31.5" hidden="false" customHeight="true" outlineLevel="0" collapsed="false">
      <c r="A264" s="15" t="s">
        <v>1872</v>
      </c>
      <c r="B264" s="7" t="s">
        <v>452</v>
      </c>
      <c r="C264" s="9" t="s">
        <v>1095</v>
      </c>
      <c r="D264" s="7" t="s">
        <v>476</v>
      </c>
      <c r="E264" s="9" t="s">
        <v>1126</v>
      </c>
      <c r="F264" s="9" t="s">
        <v>478</v>
      </c>
      <c r="G264" s="7" t="s">
        <v>1441</v>
      </c>
      <c r="H264" s="9" t="s">
        <v>1873</v>
      </c>
      <c r="I264" s="8" t="n">
        <v>46406</v>
      </c>
      <c r="J264" s="7" t="s">
        <v>1222</v>
      </c>
    </row>
    <row r="265" customFormat="false" ht="31.5" hidden="false" customHeight="true" outlineLevel="0" collapsed="false">
      <c r="A265" s="15" t="s">
        <v>1874</v>
      </c>
      <c r="B265" s="7" t="s">
        <v>476</v>
      </c>
      <c r="C265" s="9" t="s">
        <v>1126</v>
      </c>
      <c r="D265" s="7" t="s">
        <v>34</v>
      </c>
      <c r="E265" s="9" t="s">
        <v>584</v>
      </c>
      <c r="F265" s="9" t="s">
        <v>37</v>
      </c>
      <c r="G265" s="7" t="s">
        <v>1451</v>
      </c>
      <c r="H265" s="9" t="s">
        <v>1875</v>
      </c>
      <c r="I265" s="8" t="n">
        <v>46406</v>
      </c>
      <c r="J265" s="7" t="s">
        <v>1222</v>
      </c>
    </row>
    <row r="266" customFormat="false" ht="31.5" hidden="false" customHeight="true" outlineLevel="0" collapsed="false">
      <c r="A266" s="15" t="s">
        <v>1876</v>
      </c>
      <c r="B266" s="7" t="s">
        <v>476</v>
      </c>
      <c r="C266" s="9" t="s">
        <v>1126</v>
      </c>
      <c r="D266" s="7" t="s">
        <v>330</v>
      </c>
      <c r="E266" s="9" t="s">
        <v>942</v>
      </c>
      <c r="F266" s="9" t="s">
        <v>332</v>
      </c>
      <c r="G266" s="7" t="s">
        <v>1441</v>
      </c>
      <c r="H266" s="9" t="s">
        <v>1875</v>
      </c>
      <c r="I266" s="8" t="n">
        <v>46406</v>
      </c>
      <c r="J266" s="7" t="s">
        <v>1222</v>
      </c>
    </row>
    <row r="267" customFormat="false" ht="31.5" hidden="false" customHeight="true" outlineLevel="0" collapsed="false">
      <c r="A267" s="15" t="s">
        <v>1877</v>
      </c>
      <c r="B267" s="7" t="s">
        <v>476</v>
      </c>
      <c r="C267" s="9" t="s">
        <v>1126</v>
      </c>
      <c r="D267" s="7" t="s">
        <v>399</v>
      </c>
      <c r="E267" s="9" t="s">
        <v>1030</v>
      </c>
      <c r="F267" s="9" t="s">
        <v>401</v>
      </c>
      <c r="G267" s="7" t="s">
        <v>1441</v>
      </c>
      <c r="H267" s="9" t="s">
        <v>1875</v>
      </c>
      <c r="I267" s="8" t="n">
        <v>46406</v>
      </c>
      <c r="J267" s="7" t="s">
        <v>1222</v>
      </c>
    </row>
    <row r="268" customFormat="false" ht="31.5" hidden="false" customHeight="true" outlineLevel="0" collapsed="false">
      <c r="A268" s="15" t="s">
        <v>1878</v>
      </c>
      <c r="B268" s="7" t="s">
        <v>476</v>
      </c>
      <c r="C268" s="9" t="s">
        <v>1126</v>
      </c>
      <c r="D268" s="7" t="s">
        <v>426</v>
      </c>
      <c r="E268" s="9" t="s">
        <v>1061</v>
      </c>
      <c r="F268" s="9" t="s">
        <v>428</v>
      </c>
      <c r="G268" s="7" t="s">
        <v>1441</v>
      </c>
      <c r="H268" s="9" t="s">
        <v>1875</v>
      </c>
      <c r="I268" s="8" t="n">
        <v>46406</v>
      </c>
      <c r="J268" s="7" t="s">
        <v>1222</v>
      </c>
    </row>
    <row r="269" customFormat="false" ht="31.5" hidden="false" customHeight="true" outlineLevel="0" collapsed="false">
      <c r="A269" s="15" t="s">
        <v>1879</v>
      </c>
      <c r="B269" s="7" t="s">
        <v>476</v>
      </c>
      <c r="C269" s="9" t="s">
        <v>1126</v>
      </c>
      <c r="D269" s="7" t="s">
        <v>452</v>
      </c>
      <c r="E269" s="9" t="s">
        <v>1095</v>
      </c>
      <c r="F269" s="9" t="s">
        <v>454</v>
      </c>
      <c r="G269" s="7" t="s">
        <v>1441</v>
      </c>
      <c r="H269" s="9" t="s">
        <v>1875</v>
      </c>
      <c r="I269" s="8" t="n">
        <v>46406</v>
      </c>
      <c r="J269" s="7" t="s">
        <v>1222</v>
      </c>
    </row>
    <row r="270" customFormat="false" ht="31.5" hidden="false" customHeight="true" outlineLevel="0" collapsed="false">
      <c r="A270" s="15" t="s">
        <v>1880</v>
      </c>
      <c r="B270" s="7" t="s">
        <v>189</v>
      </c>
      <c r="C270" s="9" t="s">
        <v>765</v>
      </c>
      <c r="D270" s="7" t="s">
        <v>485</v>
      </c>
      <c r="E270" s="9" t="s">
        <v>1137</v>
      </c>
      <c r="F270" s="9" t="s">
        <v>487</v>
      </c>
      <c r="G270" s="7" t="s">
        <v>1441</v>
      </c>
      <c r="H270" s="9" t="s">
        <v>1881</v>
      </c>
      <c r="I270" s="8" t="n">
        <v>46408</v>
      </c>
      <c r="J270" s="7" t="s">
        <v>1222</v>
      </c>
    </row>
    <row r="271" customFormat="false" ht="31.5" hidden="false" customHeight="true" outlineLevel="0" collapsed="false">
      <c r="A271" s="15" t="s">
        <v>1882</v>
      </c>
      <c r="B271" s="7" t="s">
        <v>199</v>
      </c>
      <c r="C271" s="9" t="s">
        <v>777</v>
      </c>
      <c r="D271" s="7" t="s">
        <v>485</v>
      </c>
      <c r="E271" s="9" t="s">
        <v>1137</v>
      </c>
      <c r="F271" s="9" t="s">
        <v>487</v>
      </c>
      <c r="G271" s="7" t="s">
        <v>1451</v>
      </c>
      <c r="H271" s="9" t="s">
        <v>1883</v>
      </c>
      <c r="I271" s="8" t="n">
        <v>46408</v>
      </c>
      <c r="J271" s="7" t="s">
        <v>1222</v>
      </c>
    </row>
    <row r="272" customFormat="false" ht="31.5" hidden="false" customHeight="true" outlineLevel="0" collapsed="false">
      <c r="A272" s="15" t="s">
        <v>1884</v>
      </c>
      <c r="B272" s="7" t="s">
        <v>399</v>
      </c>
      <c r="C272" s="9" t="s">
        <v>1030</v>
      </c>
      <c r="D272" s="7" t="s">
        <v>485</v>
      </c>
      <c r="E272" s="9" t="s">
        <v>1137</v>
      </c>
      <c r="F272" s="9" t="s">
        <v>487</v>
      </c>
      <c r="G272" s="7" t="s">
        <v>1441</v>
      </c>
      <c r="H272" s="9" t="s">
        <v>1885</v>
      </c>
      <c r="I272" s="8" t="n">
        <v>46408</v>
      </c>
      <c r="J272" s="7" t="s">
        <v>1222</v>
      </c>
    </row>
    <row r="273" customFormat="false" ht="31.5" hidden="false" customHeight="true" outlineLevel="0" collapsed="false">
      <c r="A273" s="15" t="s">
        <v>1886</v>
      </c>
      <c r="B273" s="7" t="s">
        <v>426</v>
      </c>
      <c r="C273" s="9" t="s">
        <v>1061</v>
      </c>
      <c r="D273" s="7" t="s">
        <v>485</v>
      </c>
      <c r="E273" s="9" t="s">
        <v>1137</v>
      </c>
      <c r="F273" s="9" t="s">
        <v>487</v>
      </c>
      <c r="G273" s="7" t="s">
        <v>1441</v>
      </c>
      <c r="H273" s="9" t="s">
        <v>1887</v>
      </c>
      <c r="I273" s="8" t="n">
        <v>46408</v>
      </c>
      <c r="J273" s="7" t="s">
        <v>1222</v>
      </c>
    </row>
    <row r="274" customFormat="false" ht="31.5" hidden="false" customHeight="true" outlineLevel="0" collapsed="false">
      <c r="A274" s="15" t="s">
        <v>1888</v>
      </c>
      <c r="B274" s="7" t="s">
        <v>485</v>
      </c>
      <c r="C274" s="9" t="s">
        <v>1137</v>
      </c>
      <c r="D274" s="7" t="s">
        <v>189</v>
      </c>
      <c r="E274" s="9" t="s">
        <v>765</v>
      </c>
      <c r="F274" s="9" t="s">
        <v>192</v>
      </c>
      <c r="G274" s="7" t="s">
        <v>1441</v>
      </c>
      <c r="H274" s="9" t="s">
        <v>1889</v>
      </c>
      <c r="I274" s="8" t="n">
        <v>46408</v>
      </c>
      <c r="J274" s="7" t="s">
        <v>1222</v>
      </c>
    </row>
    <row r="275" customFormat="false" ht="31.5" hidden="false" customHeight="true" outlineLevel="0" collapsed="false">
      <c r="A275" s="15" t="s">
        <v>1890</v>
      </c>
      <c r="B275" s="7" t="s">
        <v>485</v>
      </c>
      <c r="C275" s="9" t="s">
        <v>1137</v>
      </c>
      <c r="D275" s="7" t="s">
        <v>199</v>
      </c>
      <c r="E275" s="9" t="s">
        <v>777</v>
      </c>
      <c r="F275" s="9" t="s">
        <v>202</v>
      </c>
      <c r="G275" s="7" t="s">
        <v>1451</v>
      </c>
      <c r="H275" s="9" t="s">
        <v>1889</v>
      </c>
      <c r="I275" s="8" t="n">
        <v>46408</v>
      </c>
      <c r="J275" s="7" t="s">
        <v>1222</v>
      </c>
    </row>
    <row r="276" customFormat="false" ht="31.5" hidden="false" customHeight="true" outlineLevel="0" collapsed="false">
      <c r="A276" s="15" t="s">
        <v>1891</v>
      </c>
      <c r="B276" s="7" t="s">
        <v>485</v>
      </c>
      <c r="C276" s="9" t="s">
        <v>1137</v>
      </c>
      <c r="D276" s="7" t="s">
        <v>399</v>
      </c>
      <c r="E276" s="9" t="s">
        <v>1030</v>
      </c>
      <c r="F276" s="9" t="s">
        <v>401</v>
      </c>
      <c r="G276" s="7" t="s">
        <v>1441</v>
      </c>
      <c r="H276" s="9" t="s">
        <v>1889</v>
      </c>
      <c r="I276" s="8" t="n">
        <v>46408</v>
      </c>
      <c r="J276" s="7" t="s">
        <v>1222</v>
      </c>
    </row>
    <row r="277" customFormat="false" ht="31.5" hidden="false" customHeight="true" outlineLevel="0" collapsed="false">
      <c r="A277" s="15" t="s">
        <v>1892</v>
      </c>
      <c r="B277" s="7" t="s">
        <v>485</v>
      </c>
      <c r="C277" s="9" t="s">
        <v>1137</v>
      </c>
      <c r="D277" s="7" t="s">
        <v>426</v>
      </c>
      <c r="E277" s="9" t="s">
        <v>1061</v>
      </c>
      <c r="F277" s="9" t="s">
        <v>428</v>
      </c>
      <c r="G277" s="7" t="s">
        <v>1441</v>
      </c>
      <c r="H277" s="9" t="s">
        <v>1889</v>
      </c>
      <c r="I277" s="8" t="n">
        <v>46408</v>
      </c>
      <c r="J277" s="7" t="s">
        <v>1222</v>
      </c>
    </row>
    <row r="278" customFormat="false" ht="31.5" hidden="false" customHeight="true" outlineLevel="0" collapsed="false">
      <c r="A278" s="15" t="s">
        <v>1893</v>
      </c>
      <c r="B278" s="7" t="s">
        <v>34</v>
      </c>
      <c r="C278" s="9" t="s">
        <v>584</v>
      </c>
      <c r="D278" s="7" t="s">
        <v>494</v>
      </c>
      <c r="E278" s="9" t="s">
        <v>1149</v>
      </c>
      <c r="F278" s="9" t="s">
        <v>496</v>
      </c>
      <c r="G278" s="7" t="s">
        <v>1451</v>
      </c>
      <c r="H278" s="9" t="s">
        <v>1894</v>
      </c>
      <c r="I278" s="8" t="n">
        <v>46410</v>
      </c>
      <c r="J278" s="7" t="s">
        <v>1222</v>
      </c>
    </row>
    <row r="279" customFormat="false" ht="31.5" hidden="false" customHeight="true" outlineLevel="0" collapsed="false">
      <c r="A279" s="15" t="s">
        <v>1895</v>
      </c>
      <c r="B279" s="7" t="s">
        <v>43</v>
      </c>
      <c r="C279" s="9" t="s">
        <v>596</v>
      </c>
      <c r="D279" s="7" t="s">
        <v>494</v>
      </c>
      <c r="E279" s="9" t="s">
        <v>1149</v>
      </c>
      <c r="F279" s="9" t="s">
        <v>496</v>
      </c>
      <c r="G279" s="7" t="s">
        <v>1441</v>
      </c>
      <c r="H279" s="9" t="s">
        <v>1896</v>
      </c>
      <c r="I279" s="8" t="n">
        <v>46410</v>
      </c>
      <c r="J279" s="7" t="s">
        <v>1222</v>
      </c>
    </row>
    <row r="280" customFormat="false" ht="31.5" hidden="false" customHeight="true" outlineLevel="0" collapsed="false">
      <c r="A280" s="15" t="s">
        <v>1897</v>
      </c>
      <c r="B280" s="7" t="s">
        <v>260</v>
      </c>
      <c r="C280" s="9" t="s">
        <v>853</v>
      </c>
      <c r="D280" s="7" t="s">
        <v>494</v>
      </c>
      <c r="E280" s="9" t="s">
        <v>1149</v>
      </c>
      <c r="F280" s="9" t="s">
        <v>496</v>
      </c>
      <c r="G280" s="7" t="s">
        <v>1441</v>
      </c>
      <c r="H280" s="9" t="s">
        <v>1898</v>
      </c>
      <c r="I280" s="8" t="n">
        <v>46410</v>
      </c>
      <c r="J280" s="7" t="s">
        <v>1222</v>
      </c>
    </row>
    <row r="281" customFormat="false" ht="31.5" hidden="false" customHeight="true" outlineLevel="0" collapsed="false">
      <c r="A281" s="15" t="s">
        <v>1899</v>
      </c>
      <c r="B281" s="7" t="s">
        <v>476</v>
      </c>
      <c r="C281" s="9" t="s">
        <v>1126</v>
      </c>
      <c r="D281" s="7" t="s">
        <v>494</v>
      </c>
      <c r="E281" s="9" t="s">
        <v>1149</v>
      </c>
      <c r="F281" s="9" t="s">
        <v>496</v>
      </c>
      <c r="G281" s="7" t="s">
        <v>1441</v>
      </c>
      <c r="H281" s="9" t="s">
        <v>1900</v>
      </c>
      <c r="I281" s="8" t="n">
        <v>46410</v>
      </c>
      <c r="J281" s="7" t="s">
        <v>1222</v>
      </c>
    </row>
    <row r="282" customFormat="false" ht="31.5" hidden="false" customHeight="true" outlineLevel="0" collapsed="false">
      <c r="A282" s="15" t="s">
        <v>1901</v>
      </c>
      <c r="B282" s="7" t="s">
        <v>494</v>
      </c>
      <c r="C282" s="9" t="s">
        <v>1149</v>
      </c>
      <c r="D282" s="7" t="s">
        <v>34</v>
      </c>
      <c r="E282" s="9" t="s">
        <v>584</v>
      </c>
      <c r="F282" s="9" t="s">
        <v>37</v>
      </c>
      <c r="G282" s="7" t="s">
        <v>1451</v>
      </c>
      <c r="H282" s="9" t="s">
        <v>1902</v>
      </c>
      <c r="I282" s="8" t="n">
        <v>46410</v>
      </c>
      <c r="J282" s="7" t="s">
        <v>1222</v>
      </c>
    </row>
    <row r="283" customFormat="false" ht="31.5" hidden="false" customHeight="true" outlineLevel="0" collapsed="false">
      <c r="A283" s="15" t="s">
        <v>1903</v>
      </c>
      <c r="B283" s="7" t="s">
        <v>494</v>
      </c>
      <c r="C283" s="9" t="s">
        <v>1149</v>
      </c>
      <c r="D283" s="7" t="s">
        <v>43</v>
      </c>
      <c r="E283" s="9" t="s">
        <v>596</v>
      </c>
      <c r="F283" s="9" t="s">
        <v>46</v>
      </c>
      <c r="G283" s="7" t="s">
        <v>1441</v>
      </c>
      <c r="H283" s="9" t="s">
        <v>1902</v>
      </c>
      <c r="I283" s="8" t="n">
        <v>46410</v>
      </c>
      <c r="J283" s="7" t="s">
        <v>1222</v>
      </c>
    </row>
    <row r="284" customFormat="false" ht="31.5" hidden="false" customHeight="true" outlineLevel="0" collapsed="false">
      <c r="A284" s="15" t="s">
        <v>1904</v>
      </c>
      <c r="B284" s="7" t="s">
        <v>494</v>
      </c>
      <c r="C284" s="9" t="s">
        <v>1149</v>
      </c>
      <c r="D284" s="7" t="s">
        <v>260</v>
      </c>
      <c r="E284" s="9" t="s">
        <v>853</v>
      </c>
      <c r="F284" s="9" t="s">
        <v>262</v>
      </c>
      <c r="G284" s="7" t="s">
        <v>1441</v>
      </c>
      <c r="H284" s="9" t="s">
        <v>1902</v>
      </c>
      <c r="I284" s="8" t="n">
        <v>46410</v>
      </c>
      <c r="J284" s="7" t="s">
        <v>1222</v>
      </c>
    </row>
    <row r="285" customFormat="false" ht="31.5" hidden="false" customHeight="true" outlineLevel="0" collapsed="false">
      <c r="A285" s="15" t="s">
        <v>1905</v>
      </c>
      <c r="B285" s="7" t="s">
        <v>494</v>
      </c>
      <c r="C285" s="9" t="s">
        <v>1149</v>
      </c>
      <c r="D285" s="7" t="s">
        <v>476</v>
      </c>
      <c r="E285" s="9" t="s">
        <v>1126</v>
      </c>
      <c r="F285" s="9" t="s">
        <v>478</v>
      </c>
      <c r="G285" s="7" t="s">
        <v>1441</v>
      </c>
      <c r="H285" s="9" t="s">
        <v>1902</v>
      </c>
      <c r="I285" s="8" t="n">
        <v>46410</v>
      </c>
      <c r="J285" s="7" t="s">
        <v>1222</v>
      </c>
    </row>
    <row r="286" customFormat="false" ht="31.5" hidden="false" customHeight="true" outlineLevel="0" collapsed="false">
      <c r="A286" s="15" t="s">
        <v>1906</v>
      </c>
      <c r="B286" s="7" t="s">
        <v>43</v>
      </c>
      <c r="C286" s="9" t="s">
        <v>596</v>
      </c>
      <c r="D286" s="7" t="s">
        <v>502</v>
      </c>
      <c r="E286" s="9" t="s">
        <v>1160</v>
      </c>
      <c r="F286" s="9" t="s">
        <v>504</v>
      </c>
      <c r="G286" s="7" t="s">
        <v>1451</v>
      </c>
      <c r="H286" s="9" t="s">
        <v>1907</v>
      </c>
      <c r="I286" s="8" t="n">
        <v>46413</v>
      </c>
      <c r="J286" s="7" t="s">
        <v>1222</v>
      </c>
    </row>
    <row r="287" customFormat="false" ht="31.5" hidden="false" customHeight="true" outlineLevel="0" collapsed="false">
      <c r="A287" s="15" t="s">
        <v>1908</v>
      </c>
      <c r="B287" s="7" t="s">
        <v>73</v>
      </c>
      <c r="C287" s="9" t="s">
        <v>631</v>
      </c>
      <c r="D287" s="7" t="s">
        <v>502</v>
      </c>
      <c r="E287" s="9" t="s">
        <v>1160</v>
      </c>
      <c r="F287" s="9" t="s">
        <v>504</v>
      </c>
      <c r="G287" s="7" t="s">
        <v>1441</v>
      </c>
      <c r="H287" s="9" t="s">
        <v>1909</v>
      </c>
      <c r="I287" s="8" t="n">
        <v>46413</v>
      </c>
      <c r="J287" s="7" t="s">
        <v>1222</v>
      </c>
    </row>
    <row r="288" customFormat="false" ht="31.5" hidden="false" customHeight="true" outlineLevel="0" collapsed="false">
      <c r="A288" s="15" t="s">
        <v>1910</v>
      </c>
      <c r="B288" s="7" t="s">
        <v>305</v>
      </c>
      <c r="C288" s="9" t="s">
        <v>910</v>
      </c>
      <c r="D288" s="7" t="s">
        <v>502</v>
      </c>
      <c r="E288" s="9" t="s">
        <v>1160</v>
      </c>
      <c r="F288" s="9" t="s">
        <v>504</v>
      </c>
      <c r="G288" s="7" t="s">
        <v>1441</v>
      </c>
      <c r="H288" s="9" t="s">
        <v>1911</v>
      </c>
      <c r="I288" s="8" t="n">
        <v>46413</v>
      </c>
      <c r="J288" s="7" t="s">
        <v>1222</v>
      </c>
    </row>
    <row r="289" customFormat="false" ht="31.5" hidden="false" customHeight="true" outlineLevel="0" collapsed="false">
      <c r="A289" s="15" t="s">
        <v>1912</v>
      </c>
      <c r="B289" s="7" t="s">
        <v>443</v>
      </c>
      <c r="C289" s="9" t="s">
        <v>1084</v>
      </c>
      <c r="D289" s="7" t="s">
        <v>502</v>
      </c>
      <c r="E289" s="9" t="s">
        <v>1160</v>
      </c>
      <c r="F289" s="9" t="s">
        <v>504</v>
      </c>
      <c r="G289" s="7" t="s">
        <v>1441</v>
      </c>
      <c r="H289" s="9" t="s">
        <v>1913</v>
      </c>
      <c r="I289" s="8" t="n">
        <v>46413</v>
      </c>
      <c r="J289" s="7" t="s">
        <v>1222</v>
      </c>
    </row>
    <row r="290" customFormat="false" ht="31.5" hidden="false" customHeight="true" outlineLevel="0" collapsed="false">
      <c r="A290" s="15" t="s">
        <v>1914</v>
      </c>
      <c r="B290" s="7" t="s">
        <v>502</v>
      </c>
      <c r="C290" s="9" t="s">
        <v>1160</v>
      </c>
      <c r="D290" s="7" t="s">
        <v>43</v>
      </c>
      <c r="E290" s="9" t="s">
        <v>596</v>
      </c>
      <c r="F290" s="9" t="s">
        <v>46</v>
      </c>
      <c r="G290" s="7" t="s">
        <v>1451</v>
      </c>
      <c r="H290" s="9" t="s">
        <v>1915</v>
      </c>
      <c r="I290" s="8" t="n">
        <v>46413</v>
      </c>
      <c r="J290" s="7" t="s">
        <v>1222</v>
      </c>
    </row>
    <row r="291" customFormat="false" ht="31.5" hidden="false" customHeight="true" outlineLevel="0" collapsed="false">
      <c r="A291" s="15" t="s">
        <v>1916</v>
      </c>
      <c r="B291" s="7" t="s">
        <v>502</v>
      </c>
      <c r="C291" s="9" t="s">
        <v>1160</v>
      </c>
      <c r="D291" s="7" t="s">
        <v>73</v>
      </c>
      <c r="E291" s="9" t="s">
        <v>631</v>
      </c>
      <c r="F291" s="9" t="s">
        <v>76</v>
      </c>
      <c r="G291" s="7" t="s">
        <v>1441</v>
      </c>
      <c r="H291" s="9" t="s">
        <v>1915</v>
      </c>
      <c r="I291" s="8" t="n">
        <v>46413</v>
      </c>
      <c r="J291" s="7" t="s">
        <v>1222</v>
      </c>
    </row>
    <row r="292" customFormat="false" ht="31.5" hidden="false" customHeight="true" outlineLevel="0" collapsed="false">
      <c r="A292" s="15" t="s">
        <v>1917</v>
      </c>
      <c r="B292" s="7" t="s">
        <v>502</v>
      </c>
      <c r="C292" s="9" t="s">
        <v>1160</v>
      </c>
      <c r="D292" s="7" t="s">
        <v>305</v>
      </c>
      <c r="E292" s="9" t="s">
        <v>910</v>
      </c>
      <c r="F292" s="9" t="s">
        <v>307</v>
      </c>
      <c r="G292" s="7" t="s">
        <v>1441</v>
      </c>
      <c r="H292" s="9" t="s">
        <v>1915</v>
      </c>
      <c r="I292" s="8" t="n">
        <v>46413</v>
      </c>
      <c r="J292" s="7" t="s">
        <v>1222</v>
      </c>
    </row>
    <row r="293" customFormat="false" ht="31.5" hidden="false" customHeight="true" outlineLevel="0" collapsed="false">
      <c r="A293" s="15" t="s">
        <v>1918</v>
      </c>
      <c r="B293" s="7" t="s">
        <v>502</v>
      </c>
      <c r="C293" s="9" t="s">
        <v>1160</v>
      </c>
      <c r="D293" s="7" t="s">
        <v>443</v>
      </c>
      <c r="E293" s="9" t="s">
        <v>1084</v>
      </c>
      <c r="F293" s="9" t="s">
        <v>445</v>
      </c>
      <c r="G293" s="7" t="s">
        <v>1441</v>
      </c>
      <c r="H293" s="9" t="s">
        <v>1915</v>
      </c>
      <c r="I293" s="8" t="n">
        <v>46413</v>
      </c>
      <c r="J293" s="7" t="s">
        <v>1222</v>
      </c>
    </row>
    <row r="294" customFormat="false" ht="31.5" hidden="false" customHeight="true" outlineLevel="0" collapsed="false">
      <c r="A294" s="15" t="s">
        <v>1919</v>
      </c>
      <c r="B294" s="7" t="s">
        <v>34</v>
      </c>
      <c r="C294" s="9" t="s">
        <v>584</v>
      </c>
      <c r="D294" s="7" t="s">
        <v>510</v>
      </c>
      <c r="E294" s="9" t="s">
        <v>1170</v>
      </c>
      <c r="F294" s="9" t="s">
        <v>512</v>
      </c>
      <c r="G294" s="7" t="s">
        <v>1451</v>
      </c>
      <c r="H294" s="9" t="s">
        <v>1920</v>
      </c>
      <c r="I294" s="8" t="n">
        <v>46415</v>
      </c>
      <c r="J294" s="7" t="s">
        <v>1222</v>
      </c>
    </row>
    <row r="295" customFormat="false" ht="31.5" hidden="false" customHeight="true" outlineLevel="0" collapsed="false">
      <c r="A295" s="15" t="s">
        <v>1921</v>
      </c>
      <c r="B295" s="7" t="s">
        <v>209</v>
      </c>
      <c r="C295" s="9" t="s">
        <v>789</v>
      </c>
      <c r="D295" s="7" t="s">
        <v>510</v>
      </c>
      <c r="E295" s="9" t="s">
        <v>1170</v>
      </c>
      <c r="F295" s="9" t="s">
        <v>512</v>
      </c>
      <c r="G295" s="7" t="s">
        <v>1441</v>
      </c>
      <c r="H295" s="9" t="s">
        <v>1922</v>
      </c>
      <c r="I295" s="8" t="n">
        <v>46415</v>
      </c>
      <c r="J295" s="7" t="s">
        <v>1222</v>
      </c>
    </row>
    <row r="296" customFormat="false" ht="31.5" hidden="false" customHeight="true" outlineLevel="0" collapsed="false">
      <c r="A296" s="15" t="s">
        <v>1923</v>
      </c>
      <c r="B296" s="7" t="s">
        <v>339</v>
      </c>
      <c r="C296" s="9" t="s">
        <v>954</v>
      </c>
      <c r="D296" s="7" t="s">
        <v>510</v>
      </c>
      <c r="E296" s="9" t="s">
        <v>1170</v>
      </c>
      <c r="F296" s="9" t="s">
        <v>512</v>
      </c>
      <c r="G296" s="7" t="s">
        <v>1441</v>
      </c>
      <c r="H296" s="9" t="s">
        <v>1924</v>
      </c>
      <c r="I296" s="8" t="n">
        <v>46415</v>
      </c>
      <c r="J296" s="7" t="s">
        <v>1222</v>
      </c>
    </row>
    <row r="297" customFormat="false" ht="31.5" hidden="false" customHeight="true" outlineLevel="0" collapsed="false">
      <c r="A297" s="15" t="s">
        <v>1925</v>
      </c>
      <c r="B297" s="7" t="s">
        <v>434</v>
      </c>
      <c r="C297" s="9" t="s">
        <v>1073</v>
      </c>
      <c r="D297" s="7" t="s">
        <v>510</v>
      </c>
      <c r="E297" s="9" t="s">
        <v>1170</v>
      </c>
      <c r="F297" s="9" t="s">
        <v>512</v>
      </c>
      <c r="G297" s="7" t="s">
        <v>1441</v>
      </c>
      <c r="H297" s="9" t="s">
        <v>1926</v>
      </c>
      <c r="I297" s="8" t="n">
        <v>46415</v>
      </c>
      <c r="J297" s="7" t="s">
        <v>1222</v>
      </c>
    </row>
    <row r="298" customFormat="false" ht="31.5" hidden="false" customHeight="true" outlineLevel="0" collapsed="false">
      <c r="A298" s="15" t="s">
        <v>1927</v>
      </c>
      <c r="B298" s="7" t="s">
        <v>443</v>
      </c>
      <c r="C298" s="9" t="s">
        <v>1084</v>
      </c>
      <c r="D298" s="7" t="s">
        <v>510</v>
      </c>
      <c r="E298" s="9" t="s">
        <v>1170</v>
      </c>
      <c r="F298" s="9" t="s">
        <v>512</v>
      </c>
      <c r="G298" s="7" t="s">
        <v>1441</v>
      </c>
      <c r="H298" s="9" t="s">
        <v>1928</v>
      </c>
      <c r="I298" s="8" t="n">
        <v>46415</v>
      </c>
      <c r="J298" s="7" t="s">
        <v>1222</v>
      </c>
    </row>
    <row r="299" customFormat="false" ht="31.5" hidden="false" customHeight="true" outlineLevel="0" collapsed="false">
      <c r="A299" s="15" t="s">
        <v>1929</v>
      </c>
      <c r="B299" s="7" t="s">
        <v>510</v>
      </c>
      <c r="C299" s="9" t="s">
        <v>1170</v>
      </c>
      <c r="D299" s="7" t="s">
        <v>34</v>
      </c>
      <c r="E299" s="9" t="s">
        <v>584</v>
      </c>
      <c r="F299" s="9" t="s">
        <v>37</v>
      </c>
      <c r="G299" s="7" t="s">
        <v>1451</v>
      </c>
      <c r="H299" s="9" t="s">
        <v>1930</v>
      </c>
      <c r="I299" s="8" t="n">
        <v>46415</v>
      </c>
      <c r="J299" s="7" t="s">
        <v>1222</v>
      </c>
    </row>
    <row r="300" customFormat="false" ht="31.5" hidden="false" customHeight="true" outlineLevel="0" collapsed="false">
      <c r="A300" s="15" t="s">
        <v>1931</v>
      </c>
      <c r="B300" s="7" t="s">
        <v>510</v>
      </c>
      <c r="C300" s="9" t="s">
        <v>1170</v>
      </c>
      <c r="D300" s="7" t="s">
        <v>209</v>
      </c>
      <c r="E300" s="9" t="s">
        <v>789</v>
      </c>
      <c r="F300" s="9" t="s">
        <v>211</v>
      </c>
      <c r="G300" s="7" t="s">
        <v>1441</v>
      </c>
      <c r="H300" s="9" t="s">
        <v>1930</v>
      </c>
      <c r="I300" s="8" t="n">
        <v>46415</v>
      </c>
      <c r="J300" s="7" t="s">
        <v>1222</v>
      </c>
    </row>
    <row r="301" customFormat="false" ht="31.5" hidden="false" customHeight="true" outlineLevel="0" collapsed="false">
      <c r="A301" s="15" t="s">
        <v>1932</v>
      </c>
      <c r="B301" s="7" t="s">
        <v>510</v>
      </c>
      <c r="C301" s="9" t="s">
        <v>1170</v>
      </c>
      <c r="D301" s="7" t="s">
        <v>339</v>
      </c>
      <c r="E301" s="9" t="s">
        <v>954</v>
      </c>
      <c r="F301" s="9" t="s">
        <v>341</v>
      </c>
      <c r="G301" s="7" t="s">
        <v>1441</v>
      </c>
      <c r="H301" s="9" t="s">
        <v>1930</v>
      </c>
      <c r="I301" s="8" t="n">
        <v>46415</v>
      </c>
      <c r="J301" s="7" t="s">
        <v>1222</v>
      </c>
    </row>
    <row r="302" customFormat="false" ht="31.5" hidden="false" customHeight="true" outlineLevel="0" collapsed="false">
      <c r="A302" s="15" t="s">
        <v>1933</v>
      </c>
      <c r="B302" s="7" t="s">
        <v>510</v>
      </c>
      <c r="C302" s="9" t="s">
        <v>1170</v>
      </c>
      <c r="D302" s="7" t="s">
        <v>434</v>
      </c>
      <c r="E302" s="9" t="s">
        <v>1073</v>
      </c>
      <c r="F302" s="9" t="s">
        <v>436</v>
      </c>
      <c r="G302" s="7" t="s">
        <v>1441</v>
      </c>
      <c r="H302" s="9" t="s">
        <v>1930</v>
      </c>
      <c r="I302" s="8" t="n">
        <v>46415</v>
      </c>
      <c r="J302" s="7" t="s">
        <v>1222</v>
      </c>
    </row>
    <row r="303" customFormat="false" ht="31.5" hidden="false" customHeight="true" outlineLevel="0" collapsed="false">
      <c r="A303" s="15" t="s">
        <v>1934</v>
      </c>
      <c r="B303" s="7" t="s">
        <v>510</v>
      </c>
      <c r="C303" s="9" t="s">
        <v>1170</v>
      </c>
      <c r="D303" s="7" t="s">
        <v>443</v>
      </c>
      <c r="E303" s="9" t="s">
        <v>1084</v>
      </c>
      <c r="F303" s="9" t="s">
        <v>445</v>
      </c>
      <c r="G303" s="7" t="s">
        <v>1441</v>
      </c>
      <c r="H303" s="9" t="s">
        <v>1930</v>
      </c>
      <c r="I303" s="8" t="n">
        <v>46415</v>
      </c>
      <c r="J303" s="7" t="s">
        <v>1222</v>
      </c>
    </row>
    <row r="304" customFormat="false" ht="31.5" hidden="false" customHeight="true" outlineLevel="0" collapsed="false">
      <c r="A304" s="15" t="s">
        <v>1935</v>
      </c>
      <c r="B304" s="7" t="s">
        <v>34</v>
      </c>
      <c r="C304" s="9" t="s">
        <v>584</v>
      </c>
      <c r="D304" s="7" t="s">
        <v>519</v>
      </c>
      <c r="E304" s="9" t="s">
        <v>1180</v>
      </c>
      <c r="F304" s="9" t="s">
        <v>521</v>
      </c>
      <c r="G304" s="7" t="s">
        <v>1451</v>
      </c>
      <c r="H304" s="9" t="s">
        <v>1936</v>
      </c>
      <c r="I304" s="8" t="n">
        <v>46417</v>
      </c>
      <c r="J304" s="7" t="s">
        <v>1222</v>
      </c>
    </row>
    <row r="305" customFormat="false" ht="31.5" hidden="false" customHeight="true" outlineLevel="0" collapsed="false">
      <c r="A305" s="15" t="s">
        <v>1937</v>
      </c>
      <c r="B305" s="7" t="s">
        <v>43</v>
      </c>
      <c r="C305" s="9" t="s">
        <v>596</v>
      </c>
      <c r="D305" s="7" t="s">
        <v>519</v>
      </c>
      <c r="E305" s="9" t="s">
        <v>1180</v>
      </c>
      <c r="F305" s="9" t="s">
        <v>521</v>
      </c>
      <c r="G305" s="7" t="s">
        <v>1441</v>
      </c>
      <c r="H305" s="9" t="s">
        <v>1938</v>
      </c>
      <c r="I305" s="8" t="n">
        <v>46417</v>
      </c>
      <c r="J305" s="7" t="s">
        <v>1222</v>
      </c>
    </row>
    <row r="306" customFormat="false" ht="31.5" hidden="false" customHeight="true" outlineLevel="0" collapsed="false">
      <c r="A306" s="15" t="s">
        <v>1939</v>
      </c>
      <c r="B306" s="7" t="s">
        <v>92</v>
      </c>
      <c r="C306" s="9" t="s">
        <v>653</v>
      </c>
      <c r="D306" s="7" t="s">
        <v>519</v>
      </c>
      <c r="E306" s="9" t="s">
        <v>1180</v>
      </c>
      <c r="F306" s="9" t="s">
        <v>521</v>
      </c>
      <c r="G306" s="7" t="s">
        <v>1441</v>
      </c>
      <c r="H306" s="9" t="s">
        <v>1940</v>
      </c>
      <c r="I306" s="8" t="n">
        <v>46417</v>
      </c>
      <c r="J306" s="7" t="s">
        <v>1222</v>
      </c>
    </row>
    <row r="307" customFormat="false" ht="31.5" hidden="false" customHeight="true" outlineLevel="0" collapsed="false">
      <c r="A307" s="15" t="s">
        <v>1941</v>
      </c>
      <c r="B307" s="7" t="s">
        <v>260</v>
      </c>
      <c r="C307" s="9" t="s">
        <v>853</v>
      </c>
      <c r="D307" s="7" t="s">
        <v>519</v>
      </c>
      <c r="E307" s="9" t="s">
        <v>1180</v>
      </c>
      <c r="F307" s="9" t="s">
        <v>521</v>
      </c>
      <c r="G307" s="7" t="s">
        <v>1441</v>
      </c>
      <c r="H307" s="9" t="s">
        <v>1942</v>
      </c>
      <c r="I307" s="8" t="n">
        <v>46417</v>
      </c>
      <c r="J307" s="7" t="s">
        <v>1222</v>
      </c>
    </row>
    <row r="308" customFormat="false" ht="31.5" hidden="false" customHeight="true" outlineLevel="0" collapsed="false">
      <c r="A308" s="15" t="s">
        <v>1943</v>
      </c>
      <c r="B308" s="7" t="s">
        <v>277</v>
      </c>
      <c r="C308" s="9" t="s">
        <v>876</v>
      </c>
      <c r="D308" s="7" t="s">
        <v>519</v>
      </c>
      <c r="E308" s="9" t="s">
        <v>1180</v>
      </c>
      <c r="F308" s="9" t="s">
        <v>521</v>
      </c>
      <c r="G308" s="7" t="s">
        <v>1441</v>
      </c>
      <c r="H308" s="9" t="s">
        <v>1944</v>
      </c>
      <c r="I308" s="8" t="n">
        <v>46417</v>
      </c>
      <c r="J308" s="7" t="s">
        <v>1222</v>
      </c>
    </row>
    <row r="309" customFormat="false" ht="31.5" hidden="false" customHeight="true" outlineLevel="0" collapsed="false">
      <c r="A309" s="15" t="s">
        <v>1945</v>
      </c>
      <c r="B309" s="7" t="s">
        <v>494</v>
      </c>
      <c r="C309" s="9" t="s">
        <v>1149</v>
      </c>
      <c r="D309" s="7" t="s">
        <v>519</v>
      </c>
      <c r="E309" s="9" t="s">
        <v>1180</v>
      </c>
      <c r="F309" s="9" t="s">
        <v>521</v>
      </c>
      <c r="G309" s="7" t="s">
        <v>1441</v>
      </c>
      <c r="H309" s="9" t="s">
        <v>1946</v>
      </c>
      <c r="I309" s="8" t="n">
        <v>46417</v>
      </c>
      <c r="J309" s="7" t="s">
        <v>1222</v>
      </c>
    </row>
    <row r="310" customFormat="false" ht="31.5" hidden="false" customHeight="true" outlineLevel="0" collapsed="false">
      <c r="A310" s="15" t="s">
        <v>1947</v>
      </c>
      <c r="B310" s="7" t="s">
        <v>519</v>
      </c>
      <c r="C310" s="9" t="s">
        <v>1180</v>
      </c>
      <c r="D310" s="7" t="s">
        <v>34</v>
      </c>
      <c r="E310" s="9" t="s">
        <v>584</v>
      </c>
      <c r="F310" s="9" t="s">
        <v>37</v>
      </c>
      <c r="G310" s="7" t="s">
        <v>1451</v>
      </c>
      <c r="H310" s="9" t="s">
        <v>1948</v>
      </c>
      <c r="I310" s="8" t="n">
        <v>46417</v>
      </c>
      <c r="J310" s="7" t="s">
        <v>1222</v>
      </c>
    </row>
    <row r="311" customFormat="false" ht="31.5" hidden="false" customHeight="true" outlineLevel="0" collapsed="false">
      <c r="A311" s="15" t="s">
        <v>1949</v>
      </c>
      <c r="B311" s="7" t="s">
        <v>519</v>
      </c>
      <c r="C311" s="9" t="s">
        <v>1180</v>
      </c>
      <c r="D311" s="7" t="s">
        <v>43</v>
      </c>
      <c r="E311" s="9" t="s">
        <v>596</v>
      </c>
      <c r="F311" s="9" t="s">
        <v>46</v>
      </c>
      <c r="G311" s="7" t="s">
        <v>1441</v>
      </c>
      <c r="H311" s="9" t="s">
        <v>1948</v>
      </c>
      <c r="I311" s="8" t="n">
        <v>46417</v>
      </c>
      <c r="J311" s="7" t="s">
        <v>1222</v>
      </c>
    </row>
    <row r="312" customFormat="false" ht="31.5" hidden="false" customHeight="true" outlineLevel="0" collapsed="false">
      <c r="A312" s="15" t="s">
        <v>1950</v>
      </c>
      <c r="B312" s="7" t="s">
        <v>519</v>
      </c>
      <c r="C312" s="9" t="s">
        <v>1180</v>
      </c>
      <c r="D312" s="7" t="s">
        <v>92</v>
      </c>
      <c r="E312" s="9" t="s">
        <v>653</v>
      </c>
      <c r="F312" s="9" t="s">
        <v>94</v>
      </c>
      <c r="G312" s="7" t="s">
        <v>1441</v>
      </c>
      <c r="H312" s="9" t="s">
        <v>1948</v>
      </c>
      <c r="I312" s="8" t="n">
        <v>46417</v>
      </c>
      <c r="J312" s="7" t="s">
        <v>1222</v>
      </c>
    </row>
    <row r="313" customFormat="false" ht="31.5" hidden="false" customHeight="true" outlineLevel="0" collapsed="false">
      <c r="A313" s="15" t="s">
        <v>1951</v>
      </c>
      <c r="B313" s="7" t="s">
        <v>519</v>
      </c>
      <c r="C313" s="9" t="s">
        <v>1180</v>
      </c>
      <c r="D313" s="7" t="s">
        <v>260</v>
      </c>
      <c r="E313" s="9" t="s">
        <v>853</v>
      </c>
      <c r="F313" s="9" t="s">
        <v>262</v>
      </c>
      <c r="G313" s="7" t="s">
        <v>1441</v>
      </c>
      <c r="H313" s="9" t="s">
        <v>1948</v>
      </c>
      <c r="I313" s="8" t="n">
        <v>46417</v>
      </c>
      <c r="J313" s="7" t="s">
        <v>1222</v>
      </c>
    </row>
    <row r="314" customFormat="false" ht="31.5" hidden="false" customHeight="true" outlineLevel="0" collapsed="false">
      <c r="A314" s="15" t="s">
        <v>1952</v>
      </c>
      <c r="B314" s="7" t="s">
        <v>519</v>
      </c>
      <c r="C314" s="9" t="s">
        <v>1180</v>
      </c>
      <c r="D314" s="7" t="s">
        <v>277</v>
      </c>
      <c r="E314" s="9" t="s">
        <v>876</v>
      </c>
      <c r="F314" s="9" t="s">
        <v>279</v>
      </c>
      <c r="G314" s="7" t="s">
        <v>1441</v>
      </c>
      <c r="H314" s="9" t="s">
        <v>1948</v>
      </c>
      <c r="I314" s="8" t="n">
        <v>46417</v>
      </c>
      <c r="J314" s="7" t="s">
        <v>1222</v>
      </c>
    </row>
    <row r="315" customFormat="false" ht="31.5" hidden="false" customHeight="true" outlineLevel="0" collapsed="false">
      <c r="A315" s="15" t="s">
        <v>1953</v>
      </c>
      <c r="B315" s="7" t="s">
        <v>519</v>
      </c>
      <c r="C315" s="9" t="s">
        <v>1180</v>
      </c>
      <c r="D315" s="7" t="s">
        <v>494</v>
      </c>
      <c r="E315" s="9" t="s">
        <v>1149</v>
      </c>
      <c r="F315" s="9" t="s">
        <v>496</v>
      </c>
      <c r="G315" s="7" t="s">
        <v>1441</v>
      </c>
      <c r="H315" s="9" t="s">
        <v>1948</v>
      </c>
      <c r="I315" s="8" t="n">
        <v>46417</v>
      </c>
      <c r="J315" s="7" t="s">
        <v>1222</v>
      </c>
    </row>
    <row r="316" customFormat="false" ht="31.5" hidden="false" customHeight="true" outlineLevel="0" collapsed="false">
      <c r="A316" s="15" t="s">
        <v>1954</v>
      </c>
      <c r="B316" s="7" t="s">
        <v>34</v>
      </c>
      <c r="C316" s="9" t="s">
        <v>584</v>
      </c>
      <c r="D316" s="7" t="s">
        <v>528</v>
      </c>
      <c r="E316" s="9" t="s">
        <v>1190</v>
      </c>
      <c r="F316" s="9" t="s">
        <v>531</v>
      </c>
      <c r="G316" s="7" t="s">
        <v>1451</v>
      </c>
      <c r="H316" s="9" t="s">
        <v>1955</v>
      </c>
      <c r="I316" s="8"/>
      <c r="J316" s="7" t="s">
        <v>1222</v>
      </c>
    </row>
    <row r="317" customFormat="false" ht="31.5" hidden="false" customHeight="true" outlineLevel="0" collapsed="false">
      <c r="A317" s="15" t="s">
        <v>1956</v>
      </c>
      <c r="B317" s="7" t="s">
        <v>330</v>
      </c>
      <c r="C317" s="9" t="s">
        <v>942</v>
      </c>
      <c r="D317" s="7" t="s">
        <v>528</v>
      </c>
      <c r="E317" s="9" t="s">
        <v>1190</v>
      </c>
      <c r="F317" s="9" t="s">
        <v>531</v>
      </c>
      <c r="G317" s="7" t="s">
        <v>1441</v>
      </c>
      <c r="H317" s="9" t="s">
        <v>1955</v>
      </c>
      <c r="I317" s="8"/>
      <c r="J317" s="7" t="s">
        <v>1222</v>
      </c>
    </row>
    <row r="318" customFormat="false" ht="31.5" hidden="false" customHeight="true" outlineLevel="0" collapsed="false">
      <c r="A318" s="15" t="s">
        <v>1957</v>
      </c>
      <c r="B318" s="7" t="s">
        <v>485</v>
      </c>
      <c r="C318" s="9" t="s">
        <v>1137</v>
      </c>
      <c r="D318" s="7" t="s">
        <v>528</v>
      </c>
      <c r="E318" s="9" t="s">
        <v>1190</v>
      </c>
      <c r="F318" s="9" t="s">
        <v>531</v>
      </c>
      <c r="G318" s="7" t="s">
        <v>1441</v>
      </c>
      <c r="H318" s="9" t="s">
        <v>1955</v>
      </c>
      <c r="I318" s="8"/>
      <c r="J318" s="7" t="s">
        <v>1222</v>
      </c>
    </row>
    <row r="319" customFormat="false" ht="31.5" hidden="false" customHeight="true" outlineLevel="0" collapsed="false">
      <c r="A319" s="15" t="s">
        <v>1958</v>
      </c>
      <c r="B319" s="7" t="s">
        <v>528</v>
      </c>
      <c r="C319" s="9" t="s">
        <v>1190</v>
      </c>
      <c r="D319" s="7" t="s">
        <v>34</v>
      </c>
      <c r="E319" s="9" t="s">
        <v>584</v>
      </c>
      <c r="F319" s="9" t="s">
        <v>37</v>
      </c>
      <c r="G319" s="7" t="s">
        <v>1451</v>
      </c>
      <c r="H319" s="9" t="s">
        <v>1955</v>
      </c>
      <c r="I319" s="8"/>
      <c r="J319" s="7" t="s">
        <v>1222</v>
      </c>
    </row>
    <row r="320" customFormat="false" ht="31.5" hidden="false" customHeight="true" outlineLevel="0" collapsed="false">
      <c r="A320" s="15" t="s">
        <v>1959</v>
      </c>
      <c r="B320" s="7" t="s">
        <v>528</v>
      </c>
      <c r="C320" s="9" t="s">
        <v>1190</v>
      </c>
      <c r="D320" s="7" t="s">
        <v>330</v>
      </c>
      <c r="E320" s="9" t="s">
        <v>942</v>
      </c>
      <c r="F320" s="9" t="s">
        <v>332</v>
      </c>
      <c r="G320" s="7" t="s">
        <v>1441</v>
      </c>
      <c r="H320" s="9" t="s">
        <v>1955</v>
      </c>
      <c r="I320" s="8"/>
      <c r="J320" s="7" t="s">
        <v>1222</v>
      </c>
    </row>
    <row r="321" customFormat="false" ht="31.5" hidden="false" customHeight="true" outlineLevel="0" collapsed="false">
      <c r="A321" s="15" t="s">
        <v>1960</v>
      </c>
      <c r="B321" s="7" t="s">
        <v>528</v>
      </c>
      <c r="C321" s="9" t="s">
        <v>1190</v>
      </c>
      <c r="D321" s="7" t="s">
        <v>485</v>
      </c>
      <c r="E321" s="9" t="s">
        <v>1137</v>
      </c>
      <c r="F321" s="9" t="s">
        <v>487</v>
      </c>
      <c r="G321" s="7" t="s">
        <v>1441</v>
      </c>
      <c r="H321" s="9" t="s">
        <v>1955</v>
      </c>
      <c r="I321" s="8"/>
      <c r="J321" s="7" t="s">
        <v>1222</v>
      </c>
    </row>
    <row r="322" customFormat="false" ht="31.5" hidden="false" customHeight="true" outlineLevel="0" collapsed="false">
      <c r="A322" s="15" t="s">
        <v>1961</v>
      </c>
      <c r="B322" s="7" t="s">
        <v>73</v>
      </c>
      <c r="C322" s="9" t="s">
        <v>631</v>
      </c>
      <c r="D322" s="7" t="s">
        <v>538</v>
      </c>
      <c r="E322" s="9" t="s">
        <v>1200</v>
      </c>
      <c r="F322" s="9" t="s">
        <v>540</v>
      </c>
      <c r="G322" s="7" t="s">
        <v>1441</v>
      </c>
      <c r="H322" s="9" t="s">
        <v>1955</v>
      </c>
      <c r="I322" s="8"/>
      <c r="J322" s="7" t="s">
        <v>1222</v>
      </c>
    </row>
    <row r="323" customFormat="false" ht="31.5" hidden="false" customHeight="true" outlineLevel="0" collapsed="false">
      <c r="A323" s="15" t="s">
        <v>1962</v>
      </c>
      <c r="B323" s="7" t="s">
        <v>92</v>
      </c>
      <c r="C323" s="9" t="s">
        <v>653</v>
      </c>
      <c r="D323" s="7" t="s">
        <v>538</v>
      </c>
      <c r="E323" s="9" t="s">
        <v>1200</v>
      </c>
      <c r="F323" s="9" t="s">
        <v>540</v>
      </c>
      <c r="G323" s="7" t="s">
        <v>1451</v>
      </c>
      <c r="H323" s="9" t="s">
        <v>1955</v>
      </c>
      <c r="I323" s="8"/>
      <c r="J323" s="7" t="s">
        <v>1222</v>
      </c>
    </row>
    <row r="324" customFormat="false" ht="31.5" hidden="false" customHeight="true" outlineLevel="0" collapsed="false">
      <c r="A324" s="15" t="s">
        <v>1963</v>
      </c>
      <c r="B324" s="7" t="s">
        <v>244</v>
      </c>
      <c r="C324" s="9" t="s">
        <v>831</v>
      </c>
      <c r="D324" s="7" t="s">
        <v>538</v>
      </c>
      <c r="E324" s="9" t="s">
        <v>1200</v>
      </c>
      <c r="F324" s="9" t="s">
        <v>540</v>
      </c>
      <c r="G324" s="7" t="s">
        <v>1441</v>
      </c>
      <c r="H324" s="9" t="s">
        <v>1955</v>
      </c>
      <c r="I324" s="8"/>
      <c r="J324" s="7" t="s">
        <v>1222</v>
      </c>
    </row>
    <row r="325" customFormat="false" ht="31.5" hidden="false" customHeight="true" outlineLevel="0" collapsed="false">
      <c r="A325" s="15" t="s">
        <v>1964</v>
      </c>
      <c r="B325" s="7" t="s">
        <v>295</v>
      </c>
      <c r="C325" s="9" t="s">
        <v>898</v>
      </c>
      <c r="D325" s="7" t="s">
        <v>538</v>
      </c>
      <c r="E325" s="9" t="s">
        <v>1200</v>
      </c>
      <c r="F325" s="9" t="s">
        <v>540</v>
      </c>
      <c r="G325" s="7" t="s">
        <v>1441</v>
      </c>
      <c r="H325" s="9" t="s">
        <v>1955</v>
      </c>
      <c r="I325" s="8"/>
      <c r="J325" s="7" t="s">
        <v>1222</v>
      </c>
    </row>
    <row r="326" customFormat="false" ht="31.5" hidden="false" customHeight="true" outlineLevel="0" collapsed="false">
      <c r="A326" s="15" t="s">
        <v>1965</v>
      </c>
      <c r="B326" s="7" t="s">
        <v>538</v>
      </c>
      <c r="C326" s="9" t="s">
        <v>1200</v>
      </c>
      <c r="D326" s="7" t="s">
        <v>73</v>
      </c>
      <c r="E326" s="9" t="s">
        <v>631</v>
      </c>
      <c r="F326" s="9" t="s">
        <v>76</v>
      </c>
      <c r="G326" s="7" t="s">
        <v>1441</v>
      </c>
      <c r="H326" s="9" t="s">
        <v>1955</v>
      </c>
      <c r="I326" s="8"/>
      <c r="J326" s="7" t="s">
        <v>1222</v>
      </c>
    </row>
    <row r="327" customFormat="false" ht="31.5" hidden="false" customHeight="true" outlineLevel="0" collapsed="false">
      <c r="A327" s="15" t="s">
        <v>1966</v>
      </c>
      <c r="B327" s="7" t="s">
        <v>538</v>
      </c>
      <c r="C327" s="9" t="s">
        <v>1200</v>
      </c>
      <c r="D327" s="7" t="s">
        <v>92</v>
      </c>
      <c r="E327" s="9" t="s">
        <v>653</v>
      </c>
      <c r="F327" s="9" t="s">
        <v>94</v>
      </c>
      <c r="G327" s="7" t="s">
        <v>1451</v>
      </c>
      <c r="H327" s="9" t="s">
        <v>1955</v>
      </c>
      <c r="I327" s="8"/>
      <c r="J327" s="7" t="s">
        <v>1222</v>
      </c>
    </row>
    <row r="328" customFormat="false" ht="31.5" hidden="false" customHeight="true" outlineLevel="0" collapsed="false">
      <c r="A328" s="15" t="s">
        <v>1967</v>
      </c>
      <c r="B328" s="7" t="s">
        <v>538</v>
      </c>
      <c r="C328" s="9" t="s">
        <v>1200</v>
      </c>
      <c r="D328" s="7" t="s">
        <v>244</v>
      </c>
      <c r="E328" s="9" t="s">
        <v>831</v>
      </c>
      <c r="F328" s="9" t="s">
        <v>246</v>
      </c>
      <c r="G328" s="7" t="s">
        <v>1441</v>
      </c>
      <c r="H328" s="9" t="s">
        <v>1955</v>
      </c>
      <c r="I328" s="8"/>
      <c r="J328" s="7" t="s">
        <v>1222</v>
      </c>
    </row>
    <row r="329" customFormat="false" ht="31.5" hidden="false" customHeight="true" outlineLevel="0" collapsed="false">
      <c r="A329" s="15" t="s">
        <v>1968</v>
      </c>
      <c r="B329" s="7" t="s">
        <v>538</v>
      </c>
      <c r="C329" s="9" t="s">
        <v>1200</v>
      </c>
      <c r="D329" s="7" t="s">
        <v>295</v>
      </c>
      <c r="E329" s="9" t="s">
        <v>898</v>
      </c>
      <c r="F329" s="9" t="s">
        <v>298</v>
      </c>
      <c r="G329" s="7" t="s">
        <v>1441</v>
      </c>
      <c r="H329" s="9" t="s">
        <v>1955</v>
      </c>
      <c r="I329" s="8"/>
      <c r="J329" s="7" t="s">
        <v>1222</v>
      </c>
    </row>
  </sheetData>
  <autoFilter ref="A1:J329"/>
  <dataValidations count="1">
    <dataValidation allowBlank="false" errorStyle="stop" operator="between" showDropDown="false" showErrorMessage="false" showInputMessage="false" sqref="J2:J329" type="list">
      <formula1>"Pendiente,Hecho"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4"/>
    <col collapsed="false" customWidth="true" hidden="false" outlineLevel="0" max="4" min="4" style="0" width="12"/>
    <col collapsed="false" customWidth="true" hidden="false" outlineLevel="0" max="5" min="5" style="0" width="22"/>
    <col collapsed="false" customWidth="true" hidden="false" outlineLevel="0" max="6" min="6" style="0" width="18"/>
    <col collapsed="false" customWidth="true" hidden="false" outlineLevel="0" max="7" min="7" style="0" width="60"/>
    <col collapsed="false" customWidth="true" hidden="false" outlineLevel="0" max="8" min="8" style="0" width="10"/>
  </cols>
  <sheetData>
    <row r="1" customFormat="false" ht="17.35" hidden="false" customHeight="false" outlineLevel="0" collapsed="false">
      <c r="A1" s="17" t="s">
        <v>1969</v>
      </c>
    </row>
    <row r="3" customFormat="false" ht="15" hidden="false" customHeight="false" outlineLevel="0" collapsed="false">
      <c r="A3" s="18" t="s">
        <v>4</v>
      </c>
      <c r="B3" s="18" t="s">
        <v>22</v>
      </c>
      <c r="C3" s="18" t="s">
        <v>105</v>
      </c>
      <c r="D3" s="18" t="s">
        <v>117</v>
      </c>
      <c r="E3" s="18" t="s">
        <v>126</v>
      </c>
      <c r="F3" s="18" t="s">
        <v>1970</v>
      </c>
      <c r="G3" s="18" t="s">
        <v>529</v>
      </c>
      <c r="H3" s="18" t="s">
        <v>1971</v>
      </c>
    </row>
    <row r="4" customFormat="false" ht="15" hidden="false" customHeight="false" outlineLevel="0" collapsed="false">
      <c r="A4" s="19" t="s">
        <v>54</v>
      </c>
      <c r="B4" s="19" t="n">
        <f aca="false">COUNTIFS(Backlog!$E$2:$E$59,$A4,Backlog!$G$2:$G$59,"Pilar")</f>
        <v>2</v>
      </c>
      <c r="C4" s="19" t="n">
        <f aca="false">COUNTIFS(Backlog!$E$2:$E$59,$A4,Backlog!$G$2:$G$59,"Fondo")</f>
        <v>2</v>
      </c>
      <c r="D4" s="19" t="n">
        <f aca="false">COUNTIFS(Backlog!$E$2:$E$59,$A4,Backlog!$G$2:$G$59,"Corto")</f>
        <v>1</v>
      </c>
      <c r="E4" s="19" t="n">
        <f aca="false">COUNTIFS(Backlog!$E$2:$E$59,$A4,Backlog!$G$2:$G$59,"Fin de semana")</f>
        <v>6</v>
      </c>
      <c r="F4" s="19" t="n">
        <f aca="false">SUM(B4:E4)</f>
        <v>11</v>
      </c>
      <c r="G4" s="19" t="n">
        <f aca="false">COUNTIFS(Backlog!$E$2:$E$59,$A4,Backlog!$G$2:$G$59,"Reserva")</f>
        <v>0</v>
      </c>
      <c r="H4" s="19" t="n">
        <f aca="false">F4+G4</f>
        <v>11</v>
      </c>
    </row>
    <row r="5" customFormat="false" ht="15" hidden="false" customHeight="false" outlineLevel="0" collapsed="false">
      <c r="A5" s="19" t="s">
        <v>64</v>
      </c>
      <c r="B5" s="19" t="n">
        <f aca="false">COUNTIFS(Backlog!$E$2:$E$59,$A5,Backlog!$G$2:$G$59,"Pilar")</f>
        <v>1</v>
      </c>
      <c r="C5" s="19" t="n">
        <f aca="false">COUNTIFS(Backlog!$E$2:$E$59,$A5,Backlog!$G$2:$G$59,"Fondo")</f>
        <v>2</v>
      </c>
      <c r="D5" s="19" t="n">
        <f aca="false">COUNTIFS(Backlog!$E$2:$E$59,$A5,Backlog!$G$2:$G$59,"Corto")</f>
        <v>1</v>
      </c>
      <c r="E5" s="19" t="n">
        <f aca="false">COUNTIFS(Backlog!$E$2:$E$59,$A5,Backlog!$G$2:$G$59,"Fin de semana")</f>
        <v>2</v>
      </c>
      <c r="F5" s="19" t="n">
        <f aca="false">SUM(B5:E5)</f>
        <v>6</v>
      </c>
      <c r="G5" s="19" t="n">
        <f aca="false">COUNTIFS(Backlog!$E$2:$E$59,$A5,Backlog!$G$2:$G$59,"Reserva")</f>
        <v>0</v>
      </c>
      <c r="H5" s="19" t="n">
        <f aca="false">F5+G5</f>
        <v>6</v>
      </c>
    </row>
    <row r="6" customFormat="false" ht="15" hidden="false" customHeight="false" outlineLevel="0" collapsed="false">
      <c r="A6" s="19" t="s">
        <v>74</v>
      </c>
      <c r="B6" s="19" t="n">
        <f aca="false">COUNTIFS(Backlog!$E$2:$E$59,$A6,Backlog!$G$2:$G$59,"Pilar")</f>
        <v>2</v>
      </c>
      <c r="C6" s="19" t="n">
        <f aca="false">COUNTIFS(Backlog!$E$2:$E$59,$A6,Backlog!$G$2:$G$59,"Fondo")</f>
        <v>2</v>
      </c>
      <c r="D6" s="19" t="n">
        <f aca="false">COUNTIFS(Backlog!$E$2:$E$59,$A6,Backlog!$G$2:$G$59,"Corto")</f>
        <v>1</v>
      </c>
      <c r="E6" s="19" t="n">
        <f aca="false">COUNTIFS(Backlog!$E$2:$E$59,$A6,Backlog!$G$2:$G$59,"Fin de semana")</f>
        <v>1</v>
      </c>
      <c r="F6" s="19" t="n">
        <f aca="false">SUM(B6:E6)</f>
        <v>6</v>
      </c>
      <c r="G6" s="19" t="n">
        <f aca="false">COUNTIFS(Backlog!$E$2:$E$59,$A6,Backlog!$G$2:$G$59,"Reserva")</f>
        <v>1</v>
      </c>
      <c r="H6" s="19" t="n">
        <f aca="false">F6+G6</f>
        <v>7</v>
      </c>
    </row>
    <row r="7" customFormat="false" ht="15" hidden="false" customHeight="false" outlineLevel="0" collapsed="false">
      <c r="A7" s="19" t="s">
        <v>44</v>
      </c>
      <c r="B7" s="19" t="n">
        <f aca="false">COUNTIFS(Backlog!$E$2:$E$59,$A7,Backlog!$G$2:$G$59,"Pilar")</f>
        <v>1</v>
      </c>
      <c r="C7" s="19" t="n">
        <f aca="false">COUNTIFS(Backlog!$E$2:$E$59,$A7,Backlog!$G$2:$G$59,"Fondo")</f>
        <v>4</v>
      </c>
      <c r="D7" s="19" t="n">
        <f aca="false">COUNTIFS(Backlog!$E$2:$E$59,$A7,Backlog!$G$2:$G$59,"Corto")</f>
        <v>1</v>
      </c>
      <c r="E7" s="19" t="n">
        <f aca="false">COUNTIFS(Backlog!$E$2:$E$59,$A7,Backlog!$G$2:$G$59,"Fin de semana")</f>
        <v>2</v>
      </c>
      <c r="F7" s="19" t="n">
        <f aca="false">SUM(B7:E7)</f>
        <v>8</v>
      </c>
      <c r="G7" s="19" t="n">
        <f aca="false">COUNTIFS(Backlog!$E$2:$E$59,$A7,Backlog!$G$2:$G$59,"Reserva")</f>
        <v>0</v>
      </c>
      <c r="H7" s="19" t="n">
        <f aca="false">F7+G7</f>
        <v>8</v>
      </c>
    </row>
    <row r="8" customFormat="false" ht="15" hidden="false" customHeight="false" outlineLevel="0" collapsed="false">
      <c r="A8" s="19" t="s">
        <v>35</v>
      </c>
      <c r="B8" s="19" t="n">
        <f aca="false">COUNTIFS(Backlog!$E$2:$E$59,$A8,Backlog!$G$2:$G$59,"Pilar")</f>
        <v>1</v>
      </c>
      <c r="C8" s="19" t="n">
        <f aca="false">COUNTIFS(Backlog!$E$2:$E$59,$A8,Backlog!$G$2:$G$59,"Fondo")</f>
        <v>1</v>
      </c>
      <c r="D8" s="19" t="n">
        <f aca="false">COUNTIFS(Backlog!$E$2:$E$59,$A8,Backlog!$G$2:$G$59,"Corto")</f>
        <v>3</v>
      </c>
      <c r="E8" s="19" t="n">
        <f aca="false">COUNTIFS(Backlog!$E$2:$E$59,$A8,Backlog!$G$2:$G$59,"Fin de semana")</f>
        <v>5</v>
      </c>
      <c r="F8" s="19" t="n">
        <f aca="false">SUM(B8:E8)</f>
        <v>10</v>
      </c>
      <c r="G8" s="19" t="n">
        <f aca="false">COUNTIFS(Backlog!$E$2:$E$59,$A8,Backlog!$G$2:$G$59,"Reserva")</f>
        <v>1</v>
      </c>
      <c r="H8" s="19" t="n">
        <f aca="false">F8+G8</f>
        <v>11</v>
      </c>
    </row>
    <row r="9" customFormat="false" ht="15" hidden="false" customHeight="false" outlineLevel="0" collapsed="false">
      <c r="A9" s="19" t="s">
        <v>136</v>
      </c>
      <c r="B9" s="19" t="n">
        <f aca="false">COUNTIFS(Backlog!$E$2:$E$59,$A9,Backlog!$G$2:$G$59,"Pilar")</f>
        <v>0</v>
      </c>
      <c r="C9" s="19" t="n">
        <f aca="false">COUNTIFS(Backlog!$E$2:$E$59,$A9,Backlog!$G$2:$G$59,"Fondo")</f>
        <v>3</v>
      </c>
      <c r="D9" s="19" t="n">
        <f aca="false">COUNTIFS(Backlog!$E$2:$E$59,$A9,Backlog!$G$2:$G$59,"Corto")</f>
        <v>3</v>
      </c>
      <c r="E9" s="19" t="n">
        <f aca="false">COUNTIFS(Backlog!$E$2:$E$59,$A9,Backlog!$G$2:$G$59,"Fin de semana")</f>
        <v>0</v>
      </c>
      <c r="F9" s="19" t="n">
        <f aca="false">SUM(B9:E9)</f>
        <v>6</v>
      </c>
      <c r="G9" s="19" t="n">
        <f aca="false">COUNTIFS(Backlog!$E$2:$E$59,$A9,Backlog!$G$2:$G$59,"Reserva")</f>
        <v>0</v>
      </c>
      <c r="H9" s="19" t="n">
        <f aca="false">F9+G9</f>
        <v>6</v>
      </c>
    </row>
    <row r="10" customFormat="false" ht="15" hidden="false" customHeight="false" outlineLevel="0" collapsed="false">
      <c r="A10" s="19" t="s">
        <v>200</v>
      </c>
      <c r="B10" s="19" t="n">
        <f aca="false">COUNTIFS(Backlog!$E$2:$E$59,$A10,Backlog!$G$2:$G$59,"Pilar")</f>
        <v>0</v>
      </c>
      <c r="C10" s="19" t="n">
        <f aca="false">COUNTIFS(Backlog!$E$2:$E$59,$A10,Backlog!$G$2:$G$59,"Fondo")</f>
        <v>2</v>
      </c>
      <c r="D10" s="19" t="n">
        <f aca="false">COUNTIFS(Backlog!$E$2:$E$59,$A10,Backlog!$G$2:$G$59,"Corto")</f>
        <v>4</v>
      </c>
      <c r="E10" s="19" t="n">
        <f aca="false">COUNTIFS(Backlog!$E$2:$E$59,$A10,Backlog!$G$2:$G$59,"Fin de semana")</f>
        <v>0</v>
      </c>
      <c r="F10" s="19" t="n">
        <f aca="false">SUM(B10:E10)</f>
        <v>6</v>
      </c>
      <c r="G10" s="19" t="n">
        <f aca="false">COUNTIFS(Backlog!$E$2:$E$59,$A10,Backlog!$G$2:$G$59,"Reserva")</f>
        <v>0</v>
      </c>
      <c r="H10" s="19" t="n">
        <f aca="false">F10+G10</f>
        <v>6</v>
      </c>
    </row>
    <row r="11" customFormat="false" ht="15" hidden="false" customHeight="false" outlineLevel="0" collapsed="false">
      <c r="A11" s="19" t="s">
        <v>21</v>
      </c>
      <c r="B11" s="19" t="n">
        <f aca="false">COUNTIFS(Backlog!$E$2:$E$59,$A11,Backlog!$G$2:$G$59,"Pilar")</f>
        <v>1</v>
      </c>
      <c r="C11" s="19" t="n">
        <f aca="false">COUNTIFS(Backlog!$E$2:$E$59,$A11,Backlog!$G$2:$G$59,"Fondo")</f>
        <v>0</v>
      </c>
      <c r="D11" s="19" t="n">
        <f aca="false">COUNTIFS(Backlog!$E$2:$E$59,$A11,Backlog!$G$2:$G$59,"Corto")</f>
        <v>2</v>
      </c>
      <c r="E11" s="19" t="n">
        <f aca="false">COUNTIFS(Backlog!$E$2:$E$59,$A11,Backlog!$G$2:$G$59,"Fin de semana")</f>
        <v>0</v>
      </c>
      <c r="F11" s="19" t="n">
        <f aca="false">SUM(B11:E11)</f>
        <v>3</v>
      </c>
      <c r="G11" s="19" t="n">
        <f aca="false">COUNTIFS(Backlog!$E$2:$E$59,$A11,Backlog!$G$2:$G$59,"Reserva")</f>
        <v>0</v>
      </c>
      <c r="H11" s="19" t="n">
        <f aca="false">F11+G11</f>
        <v>3</v>
      </c>
    </row>
    <row r="12" customFormat="false" ht="15" hidden="false" customHeight="false" outlineLevel="0" collapsed="false">
      <c r="A12" s="20" t="s">
        <v>1971</v>
      </c>
      <c r="B12" s="20" t="n">
        <f aca="false">SUM(B4:B11)</f>
        <v>8</v>
      </c>
      <c r="C12" s="20" t="n">
        <f aca="false">SUM(C4:C11)</f>
        <v>16</v>
      </c>
      <c r="D12" s="20" t="n">
        <f aca="false">SUM(D4:D11)</f>
        <v>16</v>
      </c>
      <c r="E12" s="20" t="n">
        <f aca="false">SUM(E4:E11)</f>
        <v>16</v>
      </c>
      <c r="F12" s="20" t="n">
        <f aca="false">SUM(F4:F11)</f>
        <v>56</v>
      </c>
      <c r="G12" s="20" t="n">
        <f aca="false">SUM(G4:G11)</f>
        <v>2</v>
      </c>
      <c r="H12" s="20" t="n">
        <f aca="false">SUM(H4:H11)</f>
        <v>58</v>
      </c>
    </row>
    <row r="15" customFormat="false" ht="23.85" hidden="false" customHeight="false" outlineLevel="0" collapsed="false">
      <c r="A15" s="18" t="s">
        <v>1972</v>
      </c>
      <c r="B15" s="18" t="s">
        <v>1973</v>
      </c>
      <c r="C15" s="18" t="s">
        <v>1974</v>
      </c>
      <c r="D15" s="18" t="s">
        <v>1975</v>
      </c>
      <c r="E15" s="18" t="s">
        <v>1976</v>
      </c>
      <c r="F15" s="18" t="s">
        <v>1977</v>
      </c>
      <c r="G15" s="18" t="s">
        <v>1978</v>
      </c>
    </row>
    <row r="16" customFormat="false" ht="15" hidden="false" customHeight="false" outlineLevel="0" collapsed="false">
      <c r="A16" s="19" t="s">
        <v>1979</v>
      </c>
      <c r="B16" s="21" t="n">
        <v>46304</v>
      </c>
      <c r="C16" s="21" t="n">
        <v>46304</v>
      </c>
      <c r="D16" s="19" t="n">
        <f aca="false">COUNTIFS(Backlog!$C$2:$C$59,"&gt;="&amp;B16,Backlog!$C$2:$C$59,"&lt;="&amp;C16)</f>
        <v>8</v>
      </c>
      <c r="E16" s="19" t="s">
        <v>1980</v>
      </c>
      <c r="F16" s="19" t="s">
        <v>1980</v>
      </c>
      <c r="G16" s="9" t="s">
        <v>1981</v>
      </c>
    </row>
    <row r="17" customFormat="false" ht="15" hidden="false" customHeight="false" outlineLevel="0" collapsed="false">
      <c r="A17" s="19" t="s">
        <v>1982</v>
      </c>
      <c r="B17" s="21" t="n">
        <v>46305</v>
      </c>
      <c r="C17" s="21" t="n">
        <v>46326</v>
      </c>
      <c r="D17" s="19" t="n">
        <f aca="false">COUNTIFS(Backlog!$C$2:$C$59,"&gt;="&amp;B17,Backlog!$C$2:$C$59,"&lt;="&amp;C17)</f>
        <v>9</v>
      </c>
      <c r="E17" s="19" t="n">
        <v>13</v>
      </c>
      <c r="F17" s="19" t="n">
        <f aca="false">MAX(0,D17-E17)</f>
        <v>0</v>
      </c>
      <c r="G17" s="9" t="s">
        <v>1983</v>
      </c>
    </row>
    <row r="18" customFormat="false" ht="15" hidden="false" customHeight="false" outlineLevel="0" collapsed="false">
      <c r="A18" s="19" t="s">
        <v>190</v>
      </c>
      <c r="B18" s="21" t="n">
        <v>46327</v>
      </c>
      <c r="C18" s="21" t="n">
        <v>46356</v>
      </c>
      <c r="D18" s="19" t="n">
        <f aca="false">COUNTIFS(Backlog!$C$2:$C$59,"&gt;="&amp;B18,Backlog!$C$2:$C$59,"&lt;="&amp;C18)</f>
        <v>12</v>
      </c>
      <c r="E18" s="19" t="n">
        <v>13</v>
      </c>
      <c r="F18" s="19" t="n">
        <f aca="false">MAX(0,D18-E18)</f>
        <v>0</v>
      </c>
      <c r="G18" s="9"/>
    </row>
    <row r="19" customFormat="false" ht="23.85" hidden="false" customHeight="false" outlineLevel="0" collapsed="false">
      <c r="A19" s="19" t="s">
        <v>296</v>
      </c>
      <c r="B19" s="21" t="n">
        <v>46357</v>
      </c>
      <c r="C19" s="21" t="n">
        <v>46387</v>
      </c>
      <c r="D19" s="19" t="n">
        <f aca="false">COUNTIFS(Backlog!$C$2:$C$59,"&gt;="&amp;B19,Backlog!$C$2:$C$59,"&lt;="&amp;C19)</f>
        <v>14</v>
      </c>
      <c r="E19" s="19" t="n">
        <v>13</v>
      </c>
      <c r="F19" s="19" t="n">
        <f aca="false">MAX(0,D19-E19)</f>
        <v>1</v>
      </c>
      <c r="G19" s="9" t="s">
        <v>1984</v>
      </c>
    </row>
    <row r="20" customFormat="false" ht="15" hidden="false" customHeight="false" outlineLevel="0" collapsed="false">
      <c r="A20" s="19" t="s">
        <v>1985</v>
      </c>
      <c r="B20" s="21" t="n">
        <v>46388</v>
      </c>
      <c r="C20" s="21" t="n">
        <v>46418</v>
      </c>
      <c r="D20" s="19" t="n">
        <f aca="false">COUNTIFS(Backlog!$C$2:$C$59,"&gt;="&amp;B20,Backlog!$C$2:$C$59,"&lt;="&amp;C20)</f>
        <v>13</v>
      </c>
      <c r="E20" s="19" t="n">
        <v>13</v>
      </c>
      <c r="F20" s="19" t="n">
        <f aca="false">MAX(0,D20-E20)</f>
        <v>0</v>
      </c>
      <c r="G20" s="9"/>
    </row>
    <row r="21" customFormat="false" ht="15" hidden="false" customHeight="false" outlineLevel="0" collapsed="false">
      <c r="A21" s="20" t="s">
        <v>1970</v>
      </c>
      <c r="D21" s="20" t="n">
        <f aca="false">SUM(D16:D20)</f>
        <v>56</v>
      </c>
    </row>
    <row r="22" customFormat="false" ht="15" hidden="false" customHeight="false" outlineLevel="0" collapsed="false">
      <c r="A22" s="19" t="s">
        <v>1986</v>
      </c>
      <c r="D22" s="19" t="n">
        <f aca="false">COUNTIFS(Backlog!$B$2:$B$59,"Reserva")</f>
        <v>2</v>
      </c>
    </row>
    <row r="23" customFormat="false" ht="15" hidden="false" customHeight="false" outlineLevel="0" collapsed="false">
      <c r="A23" s="20" t="s">
        <v>1987</v>
      </c>
      <c r="D23" s="20" t="n">
        <f aca="false">D21+D22</f>
        <v>58</v>
      </c>
    </row>
    <row r="24" customFormat="false" ht="15" hidden="false" customHeight="false" outlineLevel="0" collapsed="false">
      <c r="A24" s="19" t="s">
        <v>1988</v>
      </c>
      <c r="D24" s="19" t="str">
        <f aca="false">IF(D23=H12,"OK","REVISAR")</f>
        <v>OK</v>
      </c>
    </row>
    <row r="27" customFormat="false" ht="15" hidden="false" customHeight="false" outlineLevel="0" collapsed="false">
      <c r="A27" s="18" t="s">
        <v>1989</v>
      </c>
      <c r="B27" s="18" t="s">
        <v>1975</v>
      </c>
    </row>
    <row r="28" customFormat="false" ht="15" hidden="false" customHeight="false" outlineLevel="0" collapsed="false">
      <c r="A28" s="19" t="s">
        <v>1990</v>
      </c>
      <c r="B28" s="19" t="n">
        <f aca="false">COUNTIFS(Backlog!$D$2:$D$59,"martes")</f>
        <v>16</v>
      </c>
    </row>
    <row r="29" customFormat="false" ht="15" hidden="false" customHeight="false" outlineLevel="0" collapsed="false">
      <c r="A29" s="19" t="s">
        <v>1991</v>
      </c>
      <c r="B29" s="19" t="n">
        <f aca="false">COUNTIFS(Backlog!$D$2:$D$59,"jueves")</f>
        <v>16</v>
      </c>
    </row>
    <row r="30" customFormat="false" ht="15" hidden="false" customHeight="false" outlineLevel="0" collapsed="false">
      <c r="A30" s="19" t="s">
        <v>1992</v>
      </c>
      <c r="B30" s="19" t="n">
        <f aca="false">COUNTIFS(Backlog!$D$2:$D$59,"viernes")</f>
        <v>8</v>
      </c>
    </row>
    <row r="31" customFormat="false" ht="15" hidden="false" customHeight="false" outlineLevel="0" collapsed="false">
      <c r="A31" s="19" t="s">
        <v>1993</v>
      </c>
      <c r="B31" s="19" t="n">
        <f aca="false">COUNTIFS(Backlog!$D$2:$D$59,"sábado")</f>
        <v>16</v>
      </c>
    </row>
    <row r="32" customFormat="false" ht="15" hidden="false" customHeight="false" outlineLevel="0" collapsed="false">
      <c r="A32" s="20" t="s">
        <v>1971</v>
      </c>
      <c r="B32" s="20" t="n">
        <f aca="false">SUM(B28:B31)</f>
        <v>56</v>
      </c>
    </row>
    <row r="35" customFormat="false" ht="15" hidden="false" customHeight="false" outlineLevel="0" collapsed="false">
      <c r="A35" s="18" t="s">
        <v>15</v>
      </c>
      <c r="B35" s="18" t="s">
        <v>1975</v>
      </c>
    </row>
    <row r="36" customFormat="false" ht="15" hidden="false" customHeight="false" outlineLevel="0" collapsed="false">
      <c r="A36" s="19" t="s">
        <v>31</v>
      </c>
      <c r="B36" s="19" t="n">
        <f aca="false">COUNTIF(Backlog!$P$2:$P$59,"Backlog")</f>
        <v>58</v>
      </c>
    </row>
    <row r="37" customFormat="false" ht="15" hidden="false" customHeight="false" outlineLevel="0" collapsed="false">
      <c r="A37" s="19" t="s">
        <v>582</v>
      </c>
      <c r="B37" s="19" t="n">
        <f aca="false">COUNTIF(Backlog!$P$2:$P$59,"Brief listo")</f>
        <v>0</v>
      </c>
    </row>
    <row r="38" customFormat="false" ht="15" hidden="false" customHeight="false" outlineLevel="0" collapsed="false">
      <c r="A38" s="19" t="s">
        <v>1994</v>
      </c>
      <c r="B38" s="19" t="n">
        <f aca="false">COUNTIF(Backlog!$P$2:$P$59,"Borrador")</f>
        <v>0</v>
      </c>
    </row>
    <row r="39" customFormat="false" ht="15" hidden="false" customHeight="false" outlineLevel="0" collapsed="false">
      <c r="A39" s="19" t="s">
        <v>1995</v>
      </c>
      <c r="B39" s="19" t="n">
        <f aca="false">COUNTIF(Backlog!$P$2:$P$59,"En revisión")</f>
        <v>0</v>
      </c>
    </row>
    <row r="40" customFormat="false" ht="15" hidden="false" customHeight="false" outlineLevel="0" collapsed="false">
      <c r="A40" s="19" t="s">
        <v>1996</v>
      </c>
      <c r="B40" s="19" t="n">
        <f aca="false">COUNTIF(Backlog!$P$2:$P$59,"Programado")</f>
        <v>0</v>
      </c>
    </row>
    <row r="41" customFormat="false" ht="15" hidden="false" customHeight="false" outlineLevel="0" collapsed="false">
      <c r="A41" s="19" t="s">
        <v>1997</v>
      </c>
      <c r="B41" s="19" t="n">
        <f aca="false">COUNTIF(Backlog!$P$2:$P$59,"Publicado")</f>
        <v>0</v>
      </c>
    </row>
    <row r="42" customFormat="false" ht="15" hidden="false" customHeight="false" outlineLevel="0" collapsed="false">
      <c r="A42" s="19" t="s">
        <v>1998</v>
      </c>
      <c r="B42" s="19" t="n">
        <f aca="false">COUNTIF(Backlog!$P$2:$P$59,"Descartado")</f>
        <v>0</v>
      </c>
    </row>
    <row r="43" customFormat="false" ht="15" hidden="false" customHeight="false" outlineLevel="0" collapsed="false">
      <c r="A43" s="20" t="s">
        <v>1971</v>
      </c>
      <c r="B43" s="20" t="n">
        <f aca="false">SUM(B36:B42)</f>
        <v>58</v>
      </c>
    </row>
    <row r="46" customFormat="false" ht="15" hidden="false" customHeight="false" outlineLevel="0" collapsed="false">
      <c r="A46" s="22" t="s">
        <v>1999</v>
      </c>
      <c r="B46" s="22" t="s">
        <v>2000</v>
      </c>
    </row>
    <row r="47" customFormat="false" ht="15" hidden="false" customHeight="false" outlineLevel="0" collapsed="false">
      <c r="A47" s="19" t="s">
        <v>2001</v>
      </c>
      <c r="B47" s="19" t="n">
        <f aca="false">COUNTA('Mapa de enlaces'!A2:A329)</f>
        <v>328</v>
      </c>
    </row>
    <row r="48" customFormat="false" ht="15" hidden="false" customHeight="false" outlineLevel="0" collapsed="false">
      <c r="A48" s="19" t="s">
        <v>2002</v>
      </c>
      <c r="B48" s="19" t="n">
        <f aca="false">COUNTIF('Mapa de enlaces'!J2:J329,"Pendiente")</f>
        <v>328</v>
      </c>
    </row>
    <row r="49" customFormat="false" ht="15" hidden="false" customHeight="false" outlineLevel="0" collapsed="false">
      <c r="A49" s="19" t="s">
        <v>2003</v>
      </c>
      <c r="B49" s="19" t="n">
        <f aca="false">SUMPRODUCT(--(COUNTIF('Mapa de enlaces'!D2:D329,Backlog!A2:A59)=0))</f>
        <v>0</v>
      </c>
    </row>
    <row r="50" customFormat="false" ht="15" hidden="false" customHeight="false" outlineLevel="0" collapsed="false">
      <c r="A50" s="19" t="s">
        <v>2004</v>
      </c>
      <c r="B50" s="19" t="n">
        <f aca="false">SUMPRODUCT(--(COUNTIF('Mapa de enlaces'!B2:B329,Backlog!A2:A59)=0))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30"/>
  </cols>
  <sheetData>
    <row r="1" customFormat="false" ht="15" hidden="false" customHeight="false" outlineLevel="0" collapsed="false">
      <c r="A1" s="22" t="s">
        <v>2005</v>
      </c>
      <c r="B1" s="22" t="s">
        <v>2006</v>
      </c>
    </row>
    <row r="2" customFormat="false" ht="44.25" hidden="false" customHeight="true" outlineLevel="0" collapsed="false">
      <c r="A2" s="15" t="s">
        <v>2007</v>
      </c>
      <c r="B2" s="9" t="s">
        <v>2008</v>
      </c>
    </row>
    <row r="3" customFormat="false" ht="31.5" hidden="false" customHeight="true" outlineLevel="0" collapsed="false">
      <c r="A3" s="15" t="s">
        <v>2009</v>
      </c>
      <c r="B3" s="9" t="s">
        <v>2010</v>
      </c>
    </row>
    <row r="4" customFormat="false" ht="31.5" hidden="false" customHeight="true" outlineLevel="0" collapsed="false">
      <c r="A4" s="15" t="s">
        <v>2011</v>
      </c>
      <c r="B4" s="9" t="s">
        <v>2012</v>
      </c>
    </row>
    <row r="5" customFormat="false" ht="31.5" hidden="false" customHeight="true" outlineLevel="0" collapsed="false">
      <c r="A5" s="15" t="s">
        <v>2013</v>
      </c>
      <c r="B5" s="9" t="s">
        <v>2014</v>
      </c>
    </row>
    <row r="6" customFormat="false" ht="31.5" hidden="false" customHeight="true" outlineLevel="0" collapsed="false">
      <c r="A6" s="15" t="s">
        <v>2015</v>
      </c>
      <c r="B6" s="9" t="s">
        <v>2016</v>
      </c>
    </row>
    <row r="7" customFormat="false" ht="31.5" hidden="false" customHeight="true" outlineLevel="0" collapsed="false">
      <c r="A7" s="15" t="s">
        <v>2017</v>
      </c>
      <c r="B7" s="9" t="s">
        <v>2018</v>
      </c>
    </row>
    <row r="8" customFormat="false" ht="18.75" hidden="false" customHeight="true" outlineLevel="0" collapsed="false">
      <c r="A8" s="15" t="s">
        <v>2019</v>
      </c>
      <c r="B8" s="9" t="s">
        <v>2020</v>
      </c>
    </row>
    <row r="9" customFormat="false" ht="31.5" hidden="false" customHeight="true" outlineLevel="0" collapsed="false">
      <c r="A9" s="15" t="s">
        <v>2021</v>
      </c>
      <c r="B9" s="9" t="s">
        <v>2022</v>
      </c>
    </row>
    <row r="10" customFormat="false" ht="31.5" hidden="false" customHeight="true" outlineLevel="0" collapsed="false">
      <c r="A10" s="15" t="s">
        <v>2023</v>
      </c>
      <c r="B10" s="9" t="s">
        <v>2024</v>
      </c>
    </row>
    <row r="11" customFormat="false" ht="31.5" hidden="false" customHeight="true" outlineLevel="0" collapsed="false">
      <c r="A11" s="15" t="s">
        <v>2025</v>
      </c>
      <c r="B11" s="9" t="s">
        <v>2026</v>
      </c>
    </row>
    <row r="12" customFormat="false" ht="31.5" hidden="false" customHeight="true" outlineLevel="0" collapsed="false">
      <c r="A12" s="15" t="s">
        <v>559</v>
      </c>
      <c r="B12" s="9" t="s">
        <v>2027</v>
      </c>
    </row>
    <row r="13" customFormat="false" ht="31.5" hidden="false" customHeight="true" outlineLevel="0" collapsed="false">
      <c r="A13" s="15" t="s">
        <v>2028</v>
      </c>
      <c r="B13" s="9" t="s">
        <v>2029</v>
      </c>
    </row>
    <row r="14" customFormat="false" ht="57" hidden="false" customHeight="true" outlineLevel="0" collapsed="false">
      <c r="A14" s="15" t="s">
        <v>2030</v>
      </c>
      <c r="B14" s="9" t="s">
        <v>2031</v>
      </c>
    </row>
    <row r="15" customFormat="false" ht="31.5" hidden="false" customHeight="true" outlineLevel="0" collapsed="false">
      <c r="A15" s="15" t="s">
        <v>2032</v>
      </c>
      <c r="B15" s="9" t="s">
        <v>2033</v>
      </c>
    </row>
    <row r="16" customFormat="false" ht="82.5" hidden="false" customHeight="true" outlineLevel="0" collapsed="false">
      <c r="A16" s="15" t="s">
        <v>2034</v>
      </c>
      <c r="B16" s="9" t="s">
        <v>2035</v>
      </c>
    </row>
    <row r="17" customFormat="false" ht="31.5" hidden="false" customHeight="true" outlineLevel="0" collapsed="false">
      <c r="A17" s="15" t="s">
        <v>2036</v>
      </c>
      <c r="B17" s="9" t="s">
        <v>2037</v>
      </c>
    </row>
    <row r="18" customFormat="false" ht="31.5" hidden="false" customHeight="true" outlineLevel="0" collapsed="false">
      <c r="A18" s="15" t="s">
        <v>2038</v>
      </c>
      <c r="B18" s="9" t="s">
        <v>2039</v>
      </c>
    </row>
    <row r="19" customFormat="false" ht="57" hidden="false" customHeight="true" outlineLevel="0" collapsed="false">
      <c r="A19" s="15" t="s">
        <v>2040</v>
      </c>
      <c r="B19" s="9" t="s">
        <v>2041</v>
      </c>
    </row>
    <row r="20" customFormat="false" ht="31.5" hidden="false" customHeight="true" outlineLevel="0" collapsed="false">
      <c r="A20" s="15" t="s">
        <v>2042</v>
      </c>
      <c r="B20" s="9" t="s">
        <v>2043</v>
      </c>
    </row>
    <row r="21" customFormat="false" ht="31.5" hidden="false" customHeight="true" outlineLevel="0" collapsed="false">
      <c r="A21" s="15" t="s">
        <v>2044</v>
      </c>
      <c r="B21" s="9" t="s">
        <v>2045</v>
      </c>
    </row>
    <row r="22" customFormat="false" ht="57" hidden="false" customHeight="true" outlineLevel="0" collapsed="false">
      <c r="A22" s="15" t="s">
        <v>2046</v>
      </c>
      <c r="B22" s="9" t="s">
        <v>2047</v>
      </c>
    </row>
    <row r="23" customFormat="false" ht="44.25" hidden="false" customHeight="true" outlineLevel="0" collapsed="false">
      <c r="A23" s="15" t="s">
        <v>2048</v>
      </c>
      <c r="B23" s="9" t="s">
        <v>2049</v>
      </c>
    </row>
    <row r="24" customFormat="false" ht="44.25" hidden="false" customHeight="true" outlineLevel="0" collapsed="false">
      <c r="A24" s="15" t="s">
        <v>2050</v>
      </c>
      <c r="B24" s="9" t="s">
        <v>2051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30"/>
  </cols>
  <sheetData>
    <row r="1" customFormat="false" ht="15" hidden="false" customHeight="false" outlineLevel="0" collapsed="false">
      <c r="A1" s="22" t="s">
        <v>2005</v>
      </c>
      <c r="B1" s="22" t="s">
        <v>2052</v>
      </c>
    </row>
    <row r="2" customFormat="false" ht="31.5" hidden="false" customHeight="true" outlineLevel="0" collapsed="false">
      <c r="A2" s="15" t="s">
        <v>2053</v>
      </c>
      <c r="B2" s="9" t="s">
        <v>2054</v>
      </c>
    </row>
    <row r="3" customFormat="false" ht="31.5" hidden="false" customHeight="true" outlineLevel="0" collapsed="false">
      <c r="A3" s="15" t="s">
        <v>2055</v>
      </c>
      <c r="B3" s="9" t="s">
        <v>2056</v>
      </c>
    </row>
    <row r="4" customFormat="false" ht="57" hidden="false" customHeight="true" outlineLevel="0" collapsed="false">
      <c r="A4" s="15" t="s">
        <v>2057</v>
      </c>
      <c r="B4" s="9" t="s">
        <v>2058</v>
      </c>
    </row>
    <row r="5" customFormat="false" ht="31.5" hidden="false" customHeight="true" outlineLevel="0" collapsed="false">
      <c r="A5" s="15" t="s">
        <v>2059</v>
      </c>
      <c r="B5" s="9" t="s">
        <v>2060</v>
      </c>
    </row>
    <row r="6" customFormat="false" ht="31.5" hidden="false" customHeight="true" outlineLevel="0" collapsed="false">
      <c r="A6" s="15" t="s">
        <v>2061</v>
      </c>
      <c r="B6" s="9" t="s">
        <v>2062</v>
      </c>
    </row>
    <row r="7" customFormat="false" ht="44.25" hidden="false" customHeight="true" outlineLevel="0" collapsed="false">
      <c r="A7" s="15" t="s">
        <v>2063</v>
      </c>
      <c r="B7" s="9" t="s">
        <v>2064</v>
      </c>
    </row>
    <row r="8" customFormat="false" ht="57" hidden="false" customHeight="true" outlineLevel="0" collapsed="false">
      <c r="A8" s="15" t="s">
        <v>2065</v>
      </c>
      <c r="B8" s="9" t="s">
        <v>2066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30"/>
  </cols>
  <sheetData>
    <row r="1" customFormat="false" ht="15" hidden="false" customHeight="false" outlineLevel="0" collapsed="false">
      <c r="A1" s="22" t="s">
        <v>2005</v>
      </c>
      <c r="B1" s="22" t="s">
        <v>2067</v>
      </c>
    </row>
    <row r="2" customFormat="false" ht="44.25" hidden="false" customHeight="true" outlineLevel="0" collapsed="false">
      <c r="A2" s="15" t="s">
        <v>2044</v>
      </c>
      <c r="B2" s="9" t="s">
        <v>2068</v>
      </c>
    </row>
    <row r="3" customFormat="false" ht="31.5" hidden="false" customHeight="true" outlineLevel="0" collapsed="false">
      <c r="A3" s="15" t="s">
        <v>2069</v>
      </c>
      <c r="B3" s="9" t="s">
        <v>2070</v>
      </c>
    </row>
    <row r="4" customFormat="false" ht="44.25" hidden="false" customHeight="true" outlineLevel="0" collapsed="false">
      <c r="A4" s="15" t="s">
        <v>2071</v>
      </c>
      <c r="B4" s="9" t="s">
        <v>2072</v>
      </c>
    </row>
    <row r="5" customFormat="false" ht="44.25" hidden="false" customHeight="true" outlineLevel="0" collapsed="false">
      <c r="A5" s="15" t="s">
        <v>2073</v>
      </c>
      <c r="B5" s="9" t="s">
        <v>2074</v>
      </c>
    </row>
    <row r="6" customFormat="false" ht="44.25" hidden="false" customHeight="true" outlineLevel="0" collapsed="false">
      <c r="A6" s="15" t="s">
        <v>2075</v>
      </c>
      <c r="B6" s="9" t="s">
        <v>2076</v>
      </c>
    </row>
    <row r="7" customFormat="false" ht="31.5" hidden="false" customHeight="true" outlineLevel="0" collapsed="false">
      <c r="A7" s="15" t="s">
        <v>2077</v>
      </c>
      <c r="B7" s="9" t="s">
        <v>2078</v>
      </c>
    </row>
    <row r="8" customFormat="false" ht="44.25" hidden="false" customHeight="true" outlineLevel="0" collapsed="false">
      <c r="A8" s="15" t="s">
        <v>2079</v>
      </c>
      <c r="B8" s="9" t="s">
        <v>2080</v>
      </c>
    </row>
    <row r="9" customFormat="false" ht="57" hidden="false" customHeight="true" outlineLevel="0" collapsed="false">
      <c r="A9" s="15" t="s">
        <v>2081</v>
      </c>
      <c r="B9" s="9" t="s">
        <v>2082</v>
      </c>
    </row>
    <row r="10" customFormat="false" ht="31.5" hidden="false" customHeight="true" outlineLevel="0" collapsed="false">
      <c r="A10" s="15" t="s">
        <v>2083</v>
      </c>
      <c r="B10" s="9" t="s">
        <v>2084</v>
      </c>
    </row>
    <row r="11" customFormat="false" ht="18.75" hidden="false" customHeight="true" outlineLevel="0" collapsed="false">
      <c r="A11" s="15" t="s">
        <v>2085</v>
      </c>
      <c r="B11" s="9" t="s">
        <v>2086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2026-10-08T00:40:43Z</dcterms:created>
  <dc:creator>openpyxl</dc:creator>
  <dc:description/>
  <dc:language>en-US</dc:language>
  <cp:lastModifiedBy/>
  <dcterms:modified xsi:type="dcterms:W3CDTF">2026-10-08T00:40:44Z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